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افتراضات" sheetId="1" state="visible" r:id="rId3"/>
    <sheet name="الشهري" sheetId="2" state="visible" r:id="rId4"/>
    <sheet name="الملخص" sheetId="3" state="visible" r:id="rId5"/>
    <sheet name="السيناريوها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<sst xmlns="http://schemas.openxmlformats.org/spreadsheetml/2006/main" count="82" uniqueCount="57">
  <si>
    <t xml:space="preserve">الافتراضات — عدّلي الخلايا الصفراء فقط، وكل الأوراق تُحدَّث تلقائيًا</t>
  </si>
  <si>
    <t xml:space="preserve">متوسط الإيراد لكل عميل (ريال/شهر)</t>
  </si>
  <si>
    <t xml:space="preserve">مزيج ٥٠٪ Starter · ٣٥٪ Growth · ١٥٪ Business — من خطة العمل §٦</t>
  </si>
  <si>
    <t xml:space="preserve">هامش المساهمة</t>
  </si>
  <si>
    <t xml:space="preserve">مقيس من المنصة: تكلفة السؤال ٠٫٠٢٢$ فعليًا (ai_usage_logs) — أسوأ حالة عند استهلاك كامل الحصص</t>
  </si>
  <si>
    <t xml:space="preserve">التسرّب الشهري</t>
  </si>
  <si>
    <t xml:space="preserve">افتراض نموذجي لهذا الحجم — يُستبدل بالمقيس بعد أول ١٠ عملاء</t>
  </si>
  <si>
    <t xml:space="preserve">البنية التحتية الثابتة (ريال/شهر)</t>
  </si>
  <si>
    <t xml:space="preserve">Supabase Pro + Vercel Pro + نطاق + مراقبة — خطة العمل §٥</t>
  </si>
  <si>
    <t xml:space="preserve">عملاء جدد/شهر — السنة ١</t>
  </si>
  <si>
    <t xml:space="preserve">بيع مباشر من المؤسِّسة</t>
  </si>
  <si>
    <t xml:space="preserve">عملاء جدد/شهر — السنة ٢</t>
  </si>
  <si>
    <t xml:space="preserve">مع أول موظف بيع</t>
  </si>
  <si>
    <t xml:space="preserve">عملاء جدد/شهر — السنة ٣</t>
  </si>
  <si>
    <t xml:space="preserve">بيع + قنوات (مكاتب استشارات HR)</t>
  </si>
  <si>
    <t xml:space="preserve">راتب المؤسِّسة (ريال/شهر)</t>
  </si>
  <si>
    <t xml:space="preserve">يبدأ من الشهر</t>
  </si>
  <si>
    <t xml:space="preserve">حين يغطّيه الإيراد — النموذج الأساسي</t>
  </si>
  <si>
    <t xml:space="preserve">موظف بيع (ريال/شهر)</t>
  </si>
  <si>
    <t xml:space="preserve">مع بداية السنة الثانية</t>
  </si>
  <si>
    <t xml:space="preserve">نجاح العملاء/دعم (ريال/شهر)</t>
  </si>
  <si>
    <t xml:space="preserve">مهندس (ريال/شهر)</t>
  </si>
  <si>
    <t xml:space="preserve">لطبقة المميزات الثانية والثالثة</t>
  </si>
  <si>
    <t xml:space="preserve">التسويق — نسبة من الإيراد</t>
  </si>
  <si>
    <t xml:space="preserve">محتوى وفعاليات قطاعية</t>
  </si>
  <si>
    <t xml:space="preserve">التسويق — حد أدنى (ريال/شهر)</t>
  </si>
  <si>
    <t xml:space="preserve">التسويق يبدأ من الشهر</t>
  </si>
  <si>
    <t xml:space="preserve">ملاحظات: الأرقام بالريال السعودي وبلا ضريبة القيمة المضافة. الزكاة والرسوم النظامية خارج النموذج وتُحسب مع المحاسب.</t>
  </si>
  <si>
    <t xml:space="preserve">المقيس فعلًا من المنصة: هامش المساهمة وتكلفة السؤال. المُفترَض: كل ما عداه — وخاصة وتيرة الاكتساب والتسرّب.</t>
  </si>
  <si>
    <t xml:space="preserve">الشهر</t>
  </si>
  <si>
    <t xml:space="preserve">عملاء جدد</t>
  </si>
  <si>
    <t xml:space="preserve">متسرّبون</t>
  </si>
  <si>
    <t xml:space="preserve">العملاء نهاية الشهر</t>
  </si>
  <si>
    <t xml:space="preserve">الإيراد الشهري MRR</t>
  </si>
  <si>
    <t xml:space="preserve">تكلفة متغيّرة</t>
  </si>
  <si>
    <t xml:space="preserve">رواتب</t>
  </si>
  <si>
    <t xml:space="preserve">تسويق</t>
  </si>
  <si>
    <t xml:space="preserve">بنية تحتية</t>
  </si>
  <si>
    <t xml:space="preserve">صافي الشهر</t>
  </si>
  <si>
    <t xml:space="preserve">النقد التراكمي</t>
  </si>
  <si>
    <t xml:space="preserve">الملخّص السنوي — النموذج الأساسي (يتغيّر مع الافتراضات)</t>
  </si>
  <si>
    <t xml:space="preserve">السنة ١</t>
  </si>
  <si>
    <t xml:space="preserve">السنة ٢</t>
  </si>
  <si>
    <t xml:space="preserve">السنة ٣</t>
  </si>
  <si>
    <t xml:space="preserve">العملاء نهاية السنة</t>
  </si>
  <si>
    <t xml:space="preserve">معدل التشغيل السنوي ARR (ريال)</t>
  </si>
  <si>
    <t xml:space="preserve">إيراد السنة (ريال)</t>
  </si>
  <si>
    <t xml:space="preserve">صافي السنة (ريال)</t>
  </si>
  <si>
    <t xml:space="preserve">النقد التراكمي نهاية السنة (ريال)</t>
  </si>
  <si>
    <t xml:space="preserve">أقصى احتياج نقدي (أعمق نقطة في النقد التراكمي):</t>
  </si>
  <si>
    <t xml:space="preserve">السيناريوهات الثلاثة — لقطات محسوبة من محرك النموذج نفسه</t>
  </si>
  <si>
    <t xml:space="preserve">قيم ثابتة للمقارنة. للسيناريو الحي: عدّلي «الافتراضات» فتتحدث أوراق الشهري والملخص.</t>
  </si>
  <si>
    <t xml:space="preserve">سيناريو متحفّظ</t>
  </si>
  <si>
    <t xml:space="preserve">ARR (ريال)</t>
  </si>
  <si>
    <t xml:space="preserve">النقد التراكمي (ريال)</t>
  </si>
  <si>
    <t xml:space="preserve">سيناريو أساسي</t>
  </si>
  <si>
    <t xml:space="preserve">سيناريو متفائل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</si>
</sst>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2224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0.9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0.03</v>
      </c>
      <c r="C5" s="4" t="s">
        <v>6</v>
      </c>
    </row>
    <row r="6" customFormat="false" ht="15" hidden="false" customHeight="false" outlineLevel="0" collapsed="false">
      <c r="A6" s="2" t="s">
        <v>7</v>
      </c>
      <c r="B6" s="3" t="n">
        <v>340</v>
      </c>
      <c r="C6" s="4" t="s">
        <v>8</v>
      </c>
    </row>
    <row r="8" customFormat="false" ht="15" hidden="false" customHeight="false" outlineLevel="0" collapsed="false">
      <c r="A8" s="2" t="s">
        <v>9</v>
      </c>
      <c r="B8" s="6" t="n">
        <v>1.5</v>
      </c>
      <c r="C8" s="4" t="s">
        <v>10</v>
      </c>
    </row>
    <row r="9" customFormat="false" ht="15" hidden="false" customHeight="false" outlineLevel="0" collapsed="false">
      <c r="A9" s="2" t="s">
        <v>11</v>
      </c>
      <c r="B9" s="6" t="n">
        <v>3</v>
      </c>
      <c r="C9" s="4" t="s">
        <v>12</v>
      </c>
    </row>
    <row r="10" customFormat="false" ht="15" hidden="false" customHeight="false" outlineLevel="0" collapsed="false">
      <c r="A10" s="2" t="s">
        <v>13</v>
      </c>
      <c r="B10" s="6" t="n">
        <v>5</v>
      </c>
      <c r="C10" s="4" t="s">
        <v>14</v>
      </c>
    </row>
    <row r="12" customFormat="false" ht="15" hidden="false" customHeight="false" outlineLevel="0" collapsed="false">
      <c r="A12" s="2" t="s">
        <v>15</v>
      </c>
      <c r="B12" s="3" t="n">
        <v>15000</v>
      </c>
      <c r="C12" s="4"/>
    </row>
    <row r="13" customFormat="false" ht="15" hidden="false" customHeight="false" outlineLevel="0" collapsed="false">
      <c r="A13" s="2" t="s">
        <v>16</v>
      </c>
      <c r="B13" s="3" t="n">
        <v>7</v>
      </c>
      <c r="C13" s="4" t="s">
        <v>17</v>
      </c>
    </row>
    <row r="14" customFormat="false" ht="15" hidden="false" customHeight="false" outlineLevel="0" collapsed="false">
      <c r="A14" s="2" t="s">
        <v>18</v>
      </c>
      <c r="B14" s="3" t="n">
        <v>12000</v>
      </c>
      <c r="C14" s="4"/>
    </row>
    <row r="15" customFormat="false" ht="15" hidden="false" customHeight="false" outlineLevel="0" collapsed="false">
      <c r="A15" s="2" t="s">
        <v>16</v>
      </c>
      <c r="B15" s="3" t="n">
        <v>13</v>
      </c>
      <c r="C15" s="4" t="s">
        <v>19</v>
      </c>
    </row>
    <row r="16" customFormat="false" ht="15" hidden="false" customHeight="false" outlineLevel="0" collapsed="false">
      <c r="A16" s="2" t="s">
        <v>20</v>
      </c>
      <c r="B16" s="3" t="n">
        <v>10000</v>
      </c>
      <c r="C16" s="4"/>
    </row>
    <row r="17" customFormat="false" ht="15" hidden="false" customHeight="false" outlineLevel="0" collapsed="false">
      <c r="A17" s="2" t="s">
        <v>16</v>
      </c>
      <c r="B17" s="3" t="n">
        <v>19</v>
      </c>
      <c r="C17" s="4"/>
    </row>
    <row r="18" customFormat="false" ht="15" hidden="false" customHeight="false" outlineLevel="0" collapsed="false">
      <c r="A18" s="2" t="s">
        <v>21</v>
      </c>
      <c r="B18" s="3" t="n">
        <v>20000</v>
      </c>
      <c r="C18" s="4"/>
    </row>
    <row r="19" customFormat="false" ht="15" hidden="false" customHeight="false" outlineLevel="0" collapsed="false">
      <c r="A19" s="2" t="s">
        <v>16</v>
      </c>
      <c r="B19" s="3" t="n">
        <v>28</v>
      </c>
      <c r="C19" s="4" t="s">
        <v>22</v>
      </c>
    </row>
    <row r="21" customFormat="false" ht="15" hidden="false" customHeight="false" outlineLevel="0" collapsed="false">
      <c r="A21" s="2" t="s">
        <v>23</v>
      </c>
      <c r="B21" s="5" t="n">
        <v>0.08</v>
      </c>
      <c r="C21" s="4" t="s">
        <v>24</v>
      </c>
    </row>
    <row r="22" customFormat="false" ht="15" hidden="false" customHeight="false" outlineLevel="0" collapsed="false">
      <c r="A22" s="2" t="s">
        <v>25</v>
      </c>
      <c r="B22" s="3" t="n">
        <v>1500</v>
      </c>
      <c r="C22" s="4"/>
    </row>
    <row r="23" customFormat="false" ht="15" hidden="false" customHeight="false" outlineLevel="0" collapsed="false">
      <c r="A23" s="2" t="s">
        <v>26</v>
      </c>
      <c r="B23" s="3" t="n">
        <v>4</v>
      </c>
      <c r="C23" s="4"/>
    </row>
    <row r="25" customFormat="false" ht="15" hidden="false" customHeight="false" outlineLevel="0" collapsed="false">
      <c r="A25" s="7" t="s">
        <v>27</v>
      </c>
    </row>
    <row r="26" customFormat="false" ht="15" hidden="false" customHeight="false" outlineLevel="0" collapsed="false">
      <c r="A26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</row>
    <row r="2" customFormat="false" ht="15" hidden="false" customHeight="false" outlineLevel="0" collapsed="false">
      <c r="A2" s="9" t="n">
        <v>1</v>
      </c>
      <c r="B2" s="10" t="n">
        <f aca="false">IF(A2&lt;=12,الافتراضات!$B$8,IF(A2&lt;=24,الافتراضات!$B$9,الافتراضات!$B$10))</f>
        <v>1.5</v>
      </c>
      <c r="C2" s="10" t="n">
        <f aca="false">IF(A2=1,0,D1)*الافتراضات!$B$5</f>
        <v>0</v>
      </c>
      <c r="D2" s="10" t="n">
        <f aca="false">IF(A2=1,0,D1)+B2-C2</f>
        <v>1.5</v>
      </c>
      <c r="E2" s="11" t="n">
        <f aca="false">D2*الافتراضات!$B$3</f>
        <v>3336</v>
      </c>
      <c r="F2" s="11" t="n">
        <f aca="false">E2*(1-الافتراضات!$B$4)</f>
        <v>333.6</v>
      </c>
      <c r="G2" s="11" t="n">
        <f aca="false">IF(A2&gt;=الافتراضات!$B$13,الافتراضات!$B$12,0)+IF(A2&gt;=الافتراضات!$B$15,الافتراضات!$B$14,0)+IF(A2&gt;=الافتراضات!$B$17,الافتراضات!$B$16,0)+IF(A2&gt;=الافتراضات!$B$19,الافتراضات!$B$18,0)</f>
        <v>0</v>
      </c>
      <c r="H2" s="11" t="n">
        <f aca="false">IF(A2&gt;=الافتراضات!$B$23,MAX(E2*الافتراضات!$B$21,الافتراضات!$B$22),0)</f>
        <v>0</v>
      </c>
      <c r="I2" s="11" t="n">
        <f aca="false">الافتراضات!$B$6</f>
        <v>340</v>
      </c>
      <c r="J2" s="11" t="n">
        <f aca="false">E2-F2-G2-H2-I2</f>
        <v>2662.4</v>
      </c>
      <c r="K2" s="11" t="n">
        <f aca="false">IF(A2=1,J2,K1+J2)</f>
        <v>2662.4</v>
      </c>
    </row>
    <row r="3" customFormat="false" ht="15" hidden="false" customHeight="false" outlineLevel="0" collapsed="false">
      <c r="A3" s="9" t="n">
        <v>2</v>
      </c>
      <c r="B3" s="10" t="n">
        <f aca="false">IF(A3&lt;=12,الافتراضات!$B$8,IF(A3&lt;=24,الافتراضات!$B$9,الافتراضات!$B$10))</f>
        <v>1.5</v>
      </c>
      <c r="C3" s="10" t="n">
        <f aca="false">IF(A3=1,0,D2)*الافتراضات!$B$5</f>
        <v>0.045</v>
      </c>
      <c r="D3" s="10" t="n">
        <f aca="false">IF(A3=1,0,D2)+B3-C3</f>
        <v>2.955</v>
      </c>
      <c r="E3" s="11" t="n">
        <f aca="false">D3*الافتراضات!$B$3</f>
        <v>6571.92</v>
      </c>
      <c r="F3" s="11" t="n">
        <f aca="false">E3*(1-الافتراضات!$B$4)</f>
        <v>657.192</v>
      </c>
      <c r="G3" s="11" t="n">
        <f aca="false">IF(A3&gt;=الافتراضات!$B$13,الافتراضات!$B$12,0)+IF(A3&gt;=الافتراضات!$B$15,الافتراضات!$B$14,0)+IF(A3&gt;=الافتراضات!$B$17,الافتراضات!$B$16,0)+IF(A3&gt;=الافتراضات!$B$19,الافتراضات!$B$18,0)</f>
        <v>0</v>
      </c>
      <c r="H3" s="11" t="n">
        <f aca="false">IF(A3&gt;=الافتراضات!$B$23,MAX(E3*الافتراضات!$B$21,الافتراضات!$B$22),0)</f>
        <v>0</v>
      </c>
      <c r="I3" s="11" t="n">
        <f aca="false">الافتراضات!$B$6</f>
        <v>340</v>
      </c>
      <c r="J3" s="11" t="n">
        <f aca="false">E3-F3-G3-H3-I3</f>
        <v>5574.728</v>
      </c>
      <c r="K3" s="11" t="n">
        <f aca="false">IF(A3=1,J3,K2+J3)</f>
        <v>8237.128</v>
      </c>
    </row>
    <row r="4" customFormat="false" ht="15" hidden="false" customHeight="false" outlineLevel="0" collapsed="false">
      <c r="A4" s="9" t="n">
        <v>3</v>
      </c>
      <c r="B4" s="10" t="n">
        <f aca="false">IF(A4&lt;=12,الافتراضات!$B$8,IF(A4&lt;=24,الافتراضات!$B$9,الافتراضات!$B$10))</f>
        <v>1.5</v>
      </c>
      <c r="C4" s="10" t="n">
        <f aca="false">IF(A4=1,0,D3)*الافتراضات!$B$5</f>
        <v>0.08865</v>
      </c>
      <c r="D4" s="10" t="n">
        <f aca="false">IF(A4=1,0,D3)+B4-C4</f>
        <v>4.36635</v>
      </c>
      <c r="E4" s="11" t="n">
        <f aca="false">D4*الافتراضات!$B$3</f>
        <v>9710.7624</v>
      </c>
      <c r="F4" s="11" t="n">
        <f aca="false">E4*(1-الافتراضات!$B$4)</f>
        <v>971.07624</v>
      </c>
      <c r="G4" s="11" t="n">
        <f aca="false">IF(A4&gt;=الافتراضات!$B$13,الافتراضات!$B$12,0)+IF(A4&gt;=الافتراضات!$B$15,الافتراضات!$B$14,0)+IF(A4&gt;=الافتراضات!$B$17,الافتراضات!$B$16,0)+IF(A4&gt;=الافتراضات!$B$19,الافتراضات!$B$18,0)</f>
        <v>0</v>
      </c>
      <c r="H4" s="11" t="n">
        <f aca="false">IF(A4&gt;=الافتراضات!$B$23,MAX(E4*الافتراضات!$B$21,الافتراضات!$B$22),0)</f>
        <v>0</v>
      </c>
      <c r="I4" s="11" t="n">
        <f aca="false">الافتراضات!$B$6</f>
        <v>340</v>
      </c>
      <c r="J4" s="11" t="n">
        <f aca="false">E4-F4-G4-H4-I4</f>
        <v>8399.68616</v>
      </c>
      <c r="K4" s="11" t="n">
        <f aca="false">IF(A4=1,J4,K3+J4)</f>
        <v>16636.81416</v>
      </c>
    </row>
    <row r="5" customFormat="false" ht="15" hidden="false" customHeight="false" outlineLevel="0" collapsed="false">
      <c r="A5" s="9" t="n">
        <v>4</v>
      </c>
      <c r="B5" s="10" t="n">
        <f aca="false">IF(A5&lt;=12,الافتراضات!$B$8,IF(A5&lt;=24,الافتراضات!$B$9,الافتراضات!$B$10))</f>
        <v>1.5</v>
      </c>
      <c r="C5" s="10" t="n">
        <f aca="false">IF(A5=1,0,D4)*الافتراضات!$B$5</f>
        <v>0.1309905</v>
      </c>
      <c r="D5" s="10" t="n">
        <f aca="false">IF(A5=1,0,D4)+B5-C5</f>
        <v>5.7353595</v>
      </c>
      <c r="E5" s="11" t="n">
        <f aca="false">D5*الافتراضات!$B$3</f>
        <v>12755.439528</v>
      </c>
      <c r="F5" s="11" t="n">
        <f aca="false">E5*(1-الافتراضات!$B$4)</f>
        <v>1275.5439528</v>
      </c>
      <c r="G5" s="11" t="n">
        <f aca="false">IF(A5&gt;=الافتراضات!$B$13,الافتراضات!$B$12,0)+IF(A5&gt;=الافتراضات!$B$15,الافتراضات!$B$14,0)+IF(A5&gt;=الافتراضات!$B$17,الافتراضات!$B$16,0)+IF(A5&gt;=الافتراضات!$B$19,الافتراضات!$B$18,0)</f>
        <v>0</v>
      </c>
      <c r="H5" s="11" t="n">
        <f aca="false">IF(A5&gt;=الافتراضات!$B$23,MAX(E5*الافتراضات!$B$21,الافتراضات!$B$22),0)</f>
        <v>1500</v>
      </c>
      <c r="I5" s="11" t="n">
        <f aca="false">الافتراضات!$B$6</f>
        <v>340</v>
      </c>
      <c r="J5" s="11" t="n">
        <f aca="false">E5-F5-G5-H5-I5</f>
        <v>9639.8955752</v>
      </c>
      <c r="K5" s="11" t="n">
        <f aca="false">IF(A5=1,J5,K4+J5)</f>
        <v>26276.7097352</v>
      </c>
    </row>
    <row r="6" customFormat="false" ht="15" hidden="false" customHeight="false" outlineLevel="0" collapsed="false">
      <c r="A6" s="9" t="n">
        <v>5</v>
      </c>
      <c r="B6" s="10" t="n">
        <f aca="false">IF(A6&lt;=12,الافتراضات!$B$8,IF(A6&lt;=24,الافتراضات!$B$9,الافتراضات!$B$10))</f>
        <v>1.5</v>
      </c>
      <c r="C6" s="10" t="n">
        <f aca="false">IF(A6=1,0,D5)*الافتراضات!$B$5</f>
        <v>0.172060785</v>
      </c>
      <c r="D6" s="10" t="n">
        <f aca="false">IF(A6=1,0,D5)+B6-C6</f>
        <v>7.063298715</v>
      </c>
      <c r="E6" s="11" t="n">
        <f aca="false">D6*الافتراضات!$B$3</f>
        <v>15708.77634216</v>
      </c>
      <c r="F6" s="11" t="n">
        <f aca="false">E6*(1-الافتراضات!$B$4)</f>
        <v>1570.877634216</v>
      </c>
      <c r="G6" s="11" t="n">
        <f aca="false">IF(A6&gt;=الافتراضات!$B$13,الافتراضات!$B$12,0)+IF(A6&gt;=الافتراضات!$B$15,الافتراضات!$B$14,0)+IF(A6&gt;=الافتراضات!$B$17,الافتراضات!$B$16,0)+IF(A6&gt;=الافتراضات!$B$19,الافتراضات!$B$18,0)</f>
        <v>0</v>
      </c>
      <c r="H6" s="11" t="n">
        <f aca="false">IF(A6&gt;=الافتراضات!$B$23,MAX(E6*الافتراضات!$B$21,الافتراضات!$B$22),0)</f>
        <v>1500</v>
      </c>
      <c r="I6" s="11" t="n">
        <f aca="false">الافتراضات!$B$6</f>
        <v>340</v>
      </c>
      <c r="J6" s="11" t="n">
        <f aca="false">E6-F6-G6-H6-I6</f>
        <v>12297.898707944</v>
      </c>
      <c r="K6" s="11" t="n">
        <f aca="false">IF(A6=1,J6,K5+J6)</f>
        <v>38574.608443144</v>
      </c>
    </row>
    <row r="7" customFormat="false" ht="15" hidden="false" customHeight="false" outlineLevel="0" collapsed="false">
      <c r="A7" s="9" t="n">
        <v>6</v>
      </c>
      <c r="B7" s="10" t="n">
        <f aca="false">IF(A7&lt;=12,الافتراضات!$B$8,IF(A7&lt;=24,الافتراضات!$B$9,الافتراضات!$B$10))</f>
        <v>1.5</v>
      </c>
      <c r="C7" s="10" t="n">
        <f aca="false">IF(A7=1,0,D6)*الافتراضات!$B$5</f>
        <v>0.21189896145</v>
      </c>
      <c r="D7" s="10" t="n">
        <f aca="false">IF(A7=1,0,D6)+B7-C7</f>
        <v>8.35139975355</v>
      </c>
      <c r="E7" s="11" t="n">
        <f aca="false">D7*الافتراضات!$B$3</f>
        <v>18573.5130518952</v>
      </c>
      <c r="F7" s="11" t="n">
        <f aca="false">E7*(1-الافتراضات!$B$4)</f>
        <v>1857.35130518952</v>
      </c>
      <c r="G7" s="11" t="n">
        <f aca="false">IF(A7&gt;=الافتراضات!$B$13,الافتراضات!$B$12,0)+IF(A7&gt;=الافتراضات!$B$15,الافتراضات!$B$14,0)+IF(A7&gt;=الافتراضات!$B$17,الافتراضات!$B$16,0)+IF(A7&gt;=الافتراضات!$B$19,الافتراضات!$B$18,0)</f>
        <v>0</v>
      </c>
      <c r="H7" s="11" t="n">
        <f aca="false">IF(A7&gt;=الافتراضات!$B$23,MAX(E7*الافتراضات!$B$21,الافتراضات!$B$22),0)</f>
        <v>1500</v>
      </c>
      <c r="I7" s="11" t="n">
        <f aca="false">الافتراضات!$B$6</f>
        <v>340</v>
      </c>
      <c r="J7" s="11" t="n">
        <f aca="false">E7-F7-G7-H7-I7</f>
        <v>14876.1617467057</v>
      </c>
      <c r="K7" s="11" t="n">
        <f aca="false">IF(A7=1,J7,K6+J7)</f>
        <v>53450.7701898497</v>
      </c>
    </row>
    <row r="8" customFormat="false" ht="15" hidden="false" customHeight="false" outlineLevel="0" collapsed="false">
      <c r="A8" s="9" t="n">
        <v>7</v>
      </c>
      <c r="B8" s="10" t="n">
        <f aca="false">IF(A8&lt;=12,الافتراضات!$B$8,IF(A8&lt;=24,الافتراضات!$B$9,الافتراضات!$B$10))</f>
        <v>1.5</v>
      </c>
      <c r="C8" s="10" t="n">
        <f aca="false">IF(A8=1,0,D7)*الافتراضات!$B$5</f>
        <v>0.2505419926065</v>
      </c>
      <c r="D8" s="10" t="n">
        <f aca="false">IF(A8=1,0,D7)+B8-C8</f>
        <v>9.6008577609435</v>
      </c>
      <c r="E8" s="11" t="n">
        <f aca="false">D8*الافتراضات!$B$3</f>
        <v>21352.3076603383</v>
      </c>
      <c r="F8" s="11" t="n">
        <f aca="false">E8*(1-الافتراضات!$B$4)</f>
        <v>2135.23076603383</v>
      </c>
      <c r="G8" s="11" t="n">
        <f aca="false">IF(A8&gt;=الافتراضات!$B$13,الافتراضات!$B$12,0)+IF(A8&gt;=الافتراضات!$B$15,الافتراضات!$B$14,0)+IF(A8&gt;=الافتراضات!$B$17,الافتراضات!$B$16,0)+IF(A8&gt;=الافتراضات!$B$19,الافتراضات!$B$18,0)</f>
        <v>15000</v>
      </c>
      <c r="H8" s="11" t="n">
        <f aca="false">IF(A8&gt;=الافتراضات!$B$23,MAX(E8*الافتراضات!$B$21,الافتراضات!$B$22),0)</f>
        <v>1708.18461282707</v>
      </c>
      <c r="I8" s="11" t="n">
        <f aca="false">الافتراضات!$B$6</f>
        <v>340</v>
      </c>
      <c r="J8" s="11" t="n">
        <f aca="false">E8-F8-G8-H8-I8</f>
        <v>2168.89228147744</v>
      </c>
      <c r="K8" s="11" t="n">
        <f aca="false">IF(A8=1,J8,K7+J8)</f>
        <v>55619.6624713271</v>
      </c>
    </row>
    <row r="9" customFormat="false" ht="15" hidden="false" customHeight="false" outlineLevel="0" collapsed="false">
      <c r="A9" s="9" t="n">
        <v>8</v>
      </c>
      <c r="B9" s="10" t="n">
        <f aca="false">IF(A9&lt;=12,الافتراضات!$B$8,IF(A9&lt;=24,الافتراضات!$B$9,الافتراضات!$B$10))</f>
        <v>1.5</v>
      </c>
      <c r="C9" s="10" t="n">
        <f aca="false">IF(A9=1,0,D8)*الافتراضات!$B$5</f>
        <v>0.288025732828305</v>
      </c>
      <c r="D9" s="10" t="n">
        <f aca="false">IF(A9=1,0,D8)+B9-C9</f>
        <v>10.8128320281152</v>
      </c>
      <c r="E9" s="11" t="n">
        <f aca="false">D9*الافتراضات!$B$3</f>
        <v>24047.7384305282</v>
      </c>
      <c r="F9" s="11" t="n">
        <f aca="false">E9*(1-الافتراضات!$B$4)</f>
        <v>2404.77384305282</v>
      </c>
      <c r="G9" s="11" t="n">
        <f aca="false">IF(A9&gt;=الافتراضات!$B$13,الافتراضات!$B$12,0)+IF(A9&gt;=الافتراضات!$B$15,الافتراضات!$B$14,0)+IF(A9&gt;=الافتراضات!$B$17,الافتراضات!$B$16,0)+IF(A9&gt;=الافتراضات!$B$19,الافتراضات!$B$18,0)</f>
        <v>15000</v>
      </c>
      <c r="H9" s="11" t="n">
        <f aca="false">IF(A9&gt;=الافتراضات!$B$23,MAX(E9*الافتراضات!$B$21,الافتراضات!$B$22),0)</f>
        <v>1923.81907444226</v>
      </c>
      <c r="I9" s="11" t="n">
        <f aca="false">الافتراضات!$B$6</f>
        <v>340</v>
      </c>
      <c r="J9" s="11" t="n">
        <f aca="false">E9-F9-G9-H9-I9</f>
        <v>4379.14551303311</v>
      </c>
      <c r="K9" s="11" t="n">
        <f aca="false">IF(A9=1,J9,K8+J9)</f>
        <v>59998.8079843602</v>
      </c>
    </row>
    <row r="10" customFormat="false" ht="15" hidden="false" customHeight="false" outlineLevel="0" collapsed="false">
      <c r="A10" s="9" t="n">
        <v>9</v>
      </c>
      <c r="B10" s="10" t="n">
        <f aca="false">IF(A10&lt;=12,الافتراضات!$B$8,IF(A10&lt;=24,الافتراضات!$B$9,الافتراضات!$B$10))</f>
        <v>1.5</v>
      </c>
      <c r="C10" s="10" t="n">
        <f aca="false">IF(A10=1,0,D9)*الافتراضات!$B$5</f>
        <v>0.324384960843456</v>
      </c>
      <c r="D10" s="10" t="n">
        <f aca="false">IF(A10=1,0,D9)+B10-C10</f>
        <v>11.9884470672717</v>
      </c>
      <c r="E10" s="11" t="n">
        <f aca="false">D10*الافتراضات!$B$3</f>
        <v>26662.3062776123</v>
      </c>
      <c r="F10" s="11" t="n">
        <f aca="false">E10*(1-الافتراضات!$B$4)</f>
        <v>2666.23062776123</v>
      </c>
      <c r="G10" s="11" t="n">
        <f aca="false">IF(A10&gt;=الافتراضات!$B$13,الافتراضات!$B$12,0)+IF(A10&gt;=الافتراضات!$B$15,الافتراضات!$B$14,0)+IF(A10&gt;=الافتراضات!$B$17,الافتراضات!$B$16,0)+IF(A10&gt;=الافتراضات!$B$19,الافتراضات!$B$18,0)</f>
        <v>15000</v>
      </c>
      <c r="H10" s="11" t="n">
        <f aca="false">IF(A10&gt;=الافتراضات!$B$23,MAX(E10*الافتراضات!$B$21,الافتراضات!$B$22),0)</f>
        <v>2132.98450220899</v>
      </c>
      <c r="I10" s="11" t="n">
        <f aca="false">الافتراضات!$B$6</f>
        <v>340</v>
      </c>
      <c r="J10" s="11" t="n">
        <f aca="false">E10-F10-G10-H10-I10</f>
        <v>6523.09114764212</v>
      </c>
      <c r="K10" s="11" t="n">
        <f aca="false">IF(A10=1,J10,K9+J10)</f>
        <v>66521.8991320024</v>
      </c>
    </row>
    <row r="11" customFormat="false" ht="15" hidden="false" customHeight="false" outlineLevel="0" collapsed="false">
      <c r="A11" s="9" t="n">
        <v>10</v>
      </c>
      <c r="B11" s="10" t="n">
        <f aca="false">IF(A11&lt;=12,الافتراضات!$B$8,IF(A11&lt;=24,الافتراضات!$B$9,الافتراضات!$B$10))</f>
        <v>1.5</v>
      </c>
      <c r="C11" s="10" t="n">
        <f aca="false">IF(A11=1,0,D10)*الافتراضات!$B$5</f>
        <v>0.359653412018152</v>
      </c>
      <c r="D11" s="10" t="n">
        <f aca="false">IF(A11=1,0,D10)+B11-C11</f>
        <v>13.1287936552536</v>
      </c>
      <c r="E11" s="11" t="n">
        <f aca="false">D11*الافتراضات!$B$3</f>
        <v>29198.437089284</v>
      </c>
      <c r="F11" s="11" t="n">
        <f aca="false">E11*(1-الافتراضات!$B$4)</f>
        <v>2919.8437089284</v>
      </c>
      <c r="G11" s="11" t="n">
        <f aca="false">IF(A11&gt;=الافتراضات!$B$13,الافتراضات!$B$12,0)+IF(A11&gt;=الافتراضات!$B$15,الافتراضات!$B$14,0)+IF(A11&gt;=الافتراضات!$B$17,الافتراضات!$B$16,0)+IF(A11&gt;=الافتراضات!$B$19,الافتراضات!$B$18,0)</f>
        <v>15000</v>
      </c>
      <c r="H11" s="11" t="n">
        <f aca="false">IF(A11&gt;=الافتراضات!$B$23,MAX(E11*الافتراضات!$B$21,الافتراضات!$B$22),0)</f>
        <v>2335.87496714272</v>
      </c>
      <c r="I11" s="11" t="n">
        <f aca="false">الافتراضات!$B$6</f>
        <v>340</v>
      </c>
      <c r="J11" s="11" t="n">
        <f aca="false">E11-F11-G11-H11-I11</f>
        <v>8602.71841321286</v>
      </c>
      <c r="K11" s="11" t="n">
        <f aca="false">IF(A11=1,J11,K10+J11)</f>
        <v>75124.6175452152</v>
      </c>
    </row>
    <row r="12" customFormat="false" ht="15" hidden="false" customHeight="false" outlineLevel="0" collapsed="false">
      <c r="A12" s="9" t="n">
        <v>11</v>
      </c>
      <c r="B12" s="10" t="n">
        <f aca="false">IF(A12&lt;=12,الافتراضات!$B$8,IF(A12&lt;=24,الافتراضات!$B$9,الافتراضات!$B$10))</f>
        <v>1.5</v>
      </c>
      <c r="C12" s="10" t="n">
        <f aca="false">IF(A12=1,0,D11)*الافتراضات!$B$5</f>
        <v>0.393863809657608</v>
      </c>
      <c r="D12" s="10" t="n">
        <f aca="false">IF(A12=1,0,D11)+B12-C12</f>
        <v>14.234929845596</v>
      </c>
      <c r="E12" s="11" t="n">
        <f aca="false">D12*الافتراضات!$B$3</f>
        <v>31658.4839766054</v>
      </c>
      <c r="F12" s="11" t="n">
        <f aca="false">E12*(1-الافتراضات!$B$4)</f>
        <v>3165.84839766054</v>
      </c>
      <c r="G12" s="11" t="n">
        <f aca="false">IF(A12&gt;=الافتراضات!$B$13,الافتراضات!$B$12,0)+IF(A12&gt;=الافتراضات!$B$15,الافتراضات!$B$14,0)+IF(A12&gt;=الافتراضات!$B$17,الافتراضات!$B$16,0)+IF(A12&gt;=الافتراضات!$B$19,الافتراضات!$B$18,0)</f>
        <v>15000</v>
      </c>
      <c r="H12" s="11" t="n">
        <f aca="false">IF(A12&gt;=الافتراضات!$B$23,MAX(E12*الافتراضات!$B$21,الافتراضات!$B$22),0)</f>
        <v>2532.67871812844</v>
      </c>
      <c r="I12" s="11" t="n">
        <f aca="false">الافتراضات!$B$6</f>
        <v>340</v>
      </c>
      <c r="J12" s="11" t="n">
        <f aca="false">E12-F12-G12-H12-I12</f>
        <v>10619.9568608165</v>
      </c>
      <c r="K12" s="11" t="n">
        <f aca="false">IF(A12=1,J12,K11+J12)</f>
        <v>85744.5744060317</v>
      </c>
    </row>
    <row r="13" customFormat="false" ht="15" hidden="false" customHeight="false" outlineLevel="0" collapsed="false">
      <c r="A13" s="9" t="n">
        <v>12</v>
      </c>
      <c r="B13" s="10" t="n">
        <f aca="false">IF(A13&lt;=12,الافتراضات!$B$8,IF(A13&lt;=24,الافتراضات!$B$9,الافتراضات!$B$10))</f>
        <v>1.5</v>
      </c>
      <c r="C13" s="10" t="n">
        <f aca="false">IF(A13=1,0,D12)*الافتراضات!$B$5</f>
        <v>0.427047895367879</v>
      </c>
      <c r="D13" s="10" t="n">
        <f aca="false">IF(A13=1,0,D12)+B13-C13</f>
        <v>15.3078819502281</v>
      </c>
      <c r="E13" s="11" t="n">
        <f aca="false">D13*الافتراضات!$B$3</f>
        <v>34044.7294573073</v>
      </c>
      <c r="F13" s="11" t="n">
        <f aca="false">E13*(1-الافتراضات!$B$4)</f>
        <v>3404.47294573073</v>
      </c>
      <c r="G13" s="11" t="n">
        <f aca="false">IF(A13&gt;=الافتراضات!$B$13,الافتراضات!$B$12,0)+IF(A13&gt;=الافتراضات!$B$15,الافتراضات!$B$14,0)+IF(A13&gt;=الافتراضات!$B$17,الافتراضات!$B$16,0)+IF(A13&gt;=الافتراضات!$B$19,الافتراضات!$B$18,0)</f>
        <v>15000</v>
      </c>
      <c r="H13" s="11" t="n">
        <f aca="false">IF(A13&gt;=الافتراضات!$B$23,MAX(E13*الافتراضات!$B$21,الافتراضات!$B$22),0)</f>
        <v>2723.57835658458</v>
      </c>
      <c r="I13" s="11" t="n">
        <f aca="false">الافتراضات!$B$6</f>
        <v>340</v>
      </c>
      <c r="J13" s="11" t="n">
        <f aca="false">E13-F13-G13-H13-I13</f>
        <v>12576.678154992</v>
      </c>
      <c r="K13" s="11" t="n">
        <f aca="false">IF(A13=1,J13,K12+J13)</f>
        <v>98321.2525610237</v>
      </c>
    </row>
    <row r="14" customFormat="false" ht="15" hidden="false" customHeight="false" outlineLevel="0" collapsed="false">
      <c r="A14" s="9" t="n">
        <v>13</v>
      </c>
      <c r="B14" s="10" t="n">
        <f aca="false">IF(A14&lt;=12,الافتراضات!$B$8,IF(A14&lt;=24,الافتراضات!$B$9,الافتراضات!$B$10))</f>
        <v>3</v>
      </c>
      <c r="C14" s="10" t="n">
        <f aca="false">IF(A14=1,0,D13)*الافتراضات!$B$5</f>
        <v>0.459236458506843</v>
      </c>
      <c r="D14" s="10" t="n">
        <f aca="false">IF(A14=1,0,D13)+B14-C14</f>
        <v>17.8486454917213</v>
      </c>
      <c r="E14" s="11" t="n">
        <f aca="false">D14*الافتراضات!$B$3</f>
        <v>39695.3875735881</v>
      </c>
      <c r="F14" s="11" t="n">
        <f aca="false">E14*(1-الافتراضات!$B$4)</f>
        <v>3969.53875735881</v>
      </c>
      <c r="G14" s="11" t="n">
        <f aca="false">IF(A14&gt;=الافتراضات!$B$13,الافتراضات!$B$12,0)+IF(A14&gt;=الافتراضات!$B$15,الافتراضات!$B$14,0)+IF(A14&gt;=الافتراضات!$B$17,الافتراضات!$B$16,0)+IF(A14&gt;=الافتراضات!$B$19,الافتراضات!$B$18,0)</f>
        <v>27000</v>
      </c>
      <c r="H14" s="11" t="n">
        <f aca="false">IF(A14&gt;=الافتراضات!$B$23,MAX(E14*الافتراضات!$B$21,الافتراضات!$B$22),0)</f>
        <v>3175.63100588704</v>
      </c>
      <c r="I14" s="11" t="n">
        <f aca="false">الافتراضات!$B$6</f>
        <v>340</v>
      </c>
      <c r="J14" s="11" t="n">
        <f aca="false">E14-F14-G14-H14-I14</f>
        <v>5210.21781034221</v>
      </c>
      <c r="K14" s="11" t="n">
        <f aca="false">IF(A14=1,J14,K13+J14)</f>
        <v>103531.470371366</v>
      </c>
    </row>
    <row r="15" customFormat="false" ht="15" hidden="false" customHeight="false" outlineLevel="0" collapsed="false">
      <c r="A15" s="9" t="n">
        <v>14</v>
      </c>
      <c r="B15" s="10" t="n">
        <f aca="false">IF(A15&lt;=12,الافتراضات!$B$8,IF(A15&lt;=24,الافتراضات!$B$9,الافتراضات!$B$10))</f>
        <v>3</v>
      </c>
      <c r="C15" s="10" t="n">
        <f aca="false">IF(A15=1,0,D14)*الافتراضات!$B$5</f>
        <v>0.535459364751638</v>
      </c>
      <c r="D15" s="10" t="n">
        <f aca="false">IF(A15=1,0,D14)+B15-C15</f>
        <v>20.3131861269696</v>
      </c>
      <c r="E15" s="11" t="n">
        <f aca="false">D15*الافتراضات!$B$3</f>
        <v>45176.5259463804</v>
      </c>
      <c r="F15" s="11" t="n">
        <f aca="false">E15*(1-الافتراضات!$B$4)</f>
        <v>4517.65259463804</v>
      </c>
      <c r="G15" s="11" t="n">
        <f aca="false">IF(A15&gt;=الافتراضات!$B$13,الافتراضات!$B$12,0)+IF(A15&gt;=الافتراضات!$B$15,الافتراضات!$B$14,0)+IF(A15&gt;=الافتراضات!$B$17,الافتراضات!$B$16,0)+IF(A15&gt;=الافتراضات!$B$19,الافتراضات!$B$18,0)</f>
        <v>27000</v>
      </c>
      <c r="H15" s="11" t="n">
        <f aca="false">IF(A15&gt;=الافتراضات!$B$23,MAX(E15*الافتراضات!$B$21,الافتراضات!$B$22),0)</f>
        <v>3614.12207571043</v>
      </c>
      <c r="I15" s="11" t="n">
        <f aca="false">الافتراضات!$B$6</f>
        <v>340</v>
      </c>
      <c r="J15" s="11" t="n">
        <f aca="false">E15-F15-G15-H15-I15</f>
        <v>9704.75127603194</v>
      </c>
      <c r="K15" s="11" t="n">
        <f aca="false">IF(A15=1,J15,K14+J15)</f>
        <v>113236.221647398</v>
      </c>
    </row>
    <row r="16" customFormat="false" ht="15" hidden="false" customHeight="false" outlineLevel="0" collapsed="false">
      <c r="A16" s="9" t="n">
        <v>15</v>
      </c>
      <c r="B16" s="10" t="n">
        <f aca="false">IF(A16&lt;=12,الافتراضات!$B$8,IF(A16&lt;=24,الافتراضات!$B$9,الافتراضات!$B$10))</f>
        <v>3</v>
      </c>
      <c r="C16" s="10" t="n">
        <f aca="false">IF(A16=1,0,D15)*الافتراضات!$B$5</f>
        <v>0.609395583809088</v>
      </c>
      <c r="D16" s="10" t="n">
        <f aca="false">IF(A16=1,0,D15)+B16-C16</f>
        <v>22.7037905431605</v>
      </c>
      <c r="E16" s="11" t="n">
        <f aca="false">D16*الافتراضات!$B$3</f>
        <v>50493.230167989</v>
      </c>
      <c r="F16" s="11" t="n">
        <f aca="false">E16*(1-الافتراضات!$B$4)</f>
        <v>5049.3230167989</v>
      </c>
      <c r="G16" s="11" t="n">
        <f aca="false">IF(A16&gt;=الافتراضات!$B$13,الافتراضات!$B$12,0)+IF(A16&gt;=الافتراضات!$B$15,الافتراضات!$B$14,0)+IF(A16&gt;=الافتراضات!$B$17,الافتراضات!$B$16,0)+IF(A16&gt;=الافتراضات!$B$19,الافتراضات!$B$18,0)</f>
        <v>27000</v>
      </c>
      <c r="H16" s="11" t="n">
        <f aca="false">IF(A16&gt;=الافتراضات!$B$23,MAX(E16*الافتراضات!$B$21,الافتراضات!$B$22),0)</f>
        <v>4039.45841343912</v>
      </c>
      <c r="I16" s="11" t="n">
        <f aca="false">الافتراضات!$B$6</f>
        <v>340</v>
      </c>
      <c r="J16" s="11" t="n">
        <f aca="false">E16-F16-G16-H16-I16</f>
        <v>14064.448737751</v>
      </c>
      <c r="K16" s="11" t="n">
        <f aca="false">IF(A16=1,J16,K15+J16)</f>
        <v>127300.670385149</v>
      </c>
    </row>
    <row r="17" customFormat="false" ht="15" hidden="false" customHeight="false" outlineLevel="0" collapsed="false">
      <c r="A17" s="9" t="n">
        <v>16</v>
      </c>
      <c r="B17" s="10" t="n">
        <f aca="false">IF(A17&lt;=12,الافتراضات!$B$8,IF(A17&lt;=24,الافتراضات!$B$9,الافتراضات!$B$10))</f>
        <v>3</v>
      </c>
      <c r="C17" s="10" t="n">
        <f aca="false">IF(A17=1,0,D16)*الافتراضات!$B$5</f>
        <v>0.681113716294816</v>
      </c>
      <c r="D17" s="10" t="n">
        <f aca="false">IF(A17=1,0,D16)+B17-C17</f>
        <v>25.0226768268657</v>
      </c>
      <c r="E17" s="11" t="n">
        <f aca="false">D17*الافتراضات!$B$3</f>
        <v>55650.4332629493</v>
      </c>
      <c r="F17" s="11" t="n">
        <f aca="false">E17*(1-الافتراضات!$B$4)</f>
        <v>5565.04332629493</v>
      </c>
      <c r="G17" s="11" t="n">
        <f aca="false">IF(A17&gt;=الافتراضات!$B$13,الافتراضات!$B$12,0)+IF(A17&gt;=الافتراضات!$B$15,الافتراضات!$B$14,0)+IF(A17&gt;=الافتراضات!$B$17,الافتراضات!$B$16,0)+IF(A17&gt;=الافتراضات!$B$19,الافتراضات!$B$18,0)</f>
        <v>27000</v>
      </c>
      <c r="H17" s="11" t="n">
        <f aca="false">IF(A17&gt;=الافتراضات!$B$23,MAX(E17*الافتراضات!$B$21,الافتراضات!$B$22),0)</f>
        <v>4452.03466103595</v>
      </c>
      <c r="I17" s="11" t="n">
        <f aca="false">الافتراضات!$B$6</f>
        <v>340</v>
      </c>
      <c r="J17" s="11" t="n">
        <f aca="false">E17-F17-G17-H17-I17</f>
        <v>18293.3552756185</v>
      </c>
      <c r="K17" s="11" t="n">
        <f aca="false">IF(A17=1,J17,K16+J17)</f>
        <v>145594.025660767</v>
      </c>
    </row>
    <row r="18" customFormat="false" ht="15" hidden="false" customHeight="false" outlineLevel="0" collapsed="false">
      <c r="A18" s="9" t="n">
        <v>17</v>
      </c>
      <c r="B18" s="10" t="n">
        <f aca="false">IF(A18&lt;=12,الافتراضات!$B$8,IF(A18&lt;=24,الافتراضات!$B$9,الافتراضات!$B$10))</f>
        <v>3</v>
      </c>
      <c r="C18" s="10" t="n">
        <f aca="false">IF(A18=1,0,D17)*الافتراضات!$B$5</f>
        <v>0.750680304805971</v>
      </c>
      <c r="D18" s="10" t="n">
        <f aca="false">IF(A18=1,0,D17)+B18-C18</f>
        <v>27.2719965220597</v>
      </c>
      <c r="E18" s="11" t="n">
        <f aca="false">D18*الافتراضات!$B$3</f>
        <v>60652.9202650609</v>
      </c>
      <c r="F18" s="11" t="n">
        <f aca="false">E18*(1-الافتراضات!$B$4)</f>
        <v>6065.29202650608</v>
      </c>
      <c r="G18" s="11" t="n">
        <f aca="false">IF(A18&gt;=الافتراضات!$B$13,الافتراضات!$B$12,0)+IF(A18&gt;=الافتراضات!$B$15,الافتراضات!$B$14,0)+IF(A18&gt;=الافتراضات!$B$17,الافتراضات!$B$16,0)+IF(A18&gt;=الافتراضات!$B$19,الافتراضات!$B$18,0)</f>
        <v>27000</v>
      </c>
      <c r="H18" s="11" t="n">
        <f aca="false">IF(A18&gt;=الافتراضات!$B$23,MAX(E18*الافتراضات!$B$21,الافتراضات!$B$22),0)</f>
        <v>4852.23362120487</v>
      </c>
      <c r="I18" s="11" t="n">
        <f aca="false">الافتراضات!$B$6</f>
        <v>340</v>
      </c>
      <c r="J18" s="11" t="n">
        <f aca="false">E18-F18-G18-H18-I18</f>
        <v>22395.3946173499</v>
      </c>
      <c r="K18" s="11" t="n">
        <f aca="false">IF(A18=1,J18,K17+J18)</f>
        <v>167989.420278117</v>
      </c>
    </row>
    <row r="19" customFormat="false" ht="15" hidden="false" customHeight="false" outlineLevel="0" collapsed="false">
      <c r="A19" s="9" t="n">
        <v>18</v>
      </c>
      <c r="B19" s="10" t="n">
        <f aca="false">IF(A19&lt;=12,الافتراضات!$B$8,IF(A19&lt;=24,الافتراضات!$B$9,الافتراضات!$B$10))</f>
        <v>3</v>
      </c>
      <c r="C19" s="10" t="n">
        <f aca="false">IF(A19=1,0,D18)*الافتراضات!$B$5</f>
        <v>0.818159895661792</v>
      </c>
      <c r="D19" s="10" t="n">
        <f aca="false">IF(A19=1,0,D18)+B19-C19</f>
        <v>29.4538366263979</v>
      </c>
      <c r="E19" s="11" t="n">
        <f aca="false">D19*الافتراضات!$B$3</f>
        <v>65505.332657109</v>
      </c>
      <c r="F19" s="11" t="n">
        <f aca="false">E19*(1-الافتراضات!$B$4)</f>
        <v>6550.5332657109</v>
      </c>
      <c r="G19" s="11" t="n">
        <f aca="false">IF(A19&gt;=الافتراضات!$B$13,الافتراضات!$B$12,0)+IF(A19&gt;=الافتراضات!$B$15,الافتراضات!$B$14,0)+IF(A19&gt;=الافتراضات!$B$17,الافتراضات!$B$16,0)+IF(A19&gt;=الافتراضات!$B$19,الافتراضات!$B$18,0)</f>
        <v>27000</v>
      </c>
      <c r="H19" s="11" t="n">
        <f aca="false">IF(A19&gt;=الافتراضات!$B$23,MAX(E19*الافتراضات!$B$21,الافتراضات!$B$22),0)</f>
        <v>5240.42661256872</v>
      </c>
      <c r="I19" s="11" t="n">
        <f aca="false">الافتراضات!$B$6</f>
        <v>340</v>
      </c>
      <c r="J19" s="11" t="n">
        <f aca="false">E19-F19-G19-H19-I19</f>
        <v>26374.3727788294</v>
      </c>
      <c r="K19" s="11" t="n">
        <f aca="false">IF(A19=1,J19,K18+J19)</f>
        <v>194363.793056947</v>
      </c>
    </row>
    <row r="20" customFormat="false" ht="15" hidden="false" customHeight="false" outlineLevel="0" collapsed="false">
      <c r="A20" s="9" t="n">
        <v>19</v>
      </c>
      <c r="B20" s="10" t="n">
        <f aca="false">IF(A20&lt;=12,الافتراضات!$B$8,IF(A20&lt;=24,الافتراضات!$B$9,الافتراضات!$B$10))</f>
        <v>3</v>
      </c>
      <c r="C20" s="10" t="n">
        <f aca="false">IF(A20=1,0,D19)*الافتراضات!$B$5</f>
        <v>0.883615098791938</v>
      </c>
      <c r="D20" s="10" t="n">
        <f aca="false">IF(A20=1,0,D19)+B20-C20</f>
        <v>31.570221527606</v>
      </c>
      <c r="E20" s="11" t="n">
        <f aca="false">D20*الافتراضات!$B$3</f>
        <v>70212.1726773958</v>
      </c>
      <c r="F20" s="11" t="n">
        <f aca="false">E20*(1-الافتراضات!$B$4)</f>
        <v>7021.21726773957</v>
      </c>
      <c r="G20" s="11" t="n">
        <f aca="false">IF(A20&gt;=الافتراضات!$B$13,الافتراضات!$B$12,0)+IF(A20&gt;=الافتراضات!$B$15,الافتراضات!$B$14,0)+IF(A20&gt;=الافتراضات!$B$17,الافتراضات!$B$16,0)+IF(A20&gt;=الافتراضات!$B$19,الافتراضات!$B$18,0)</f>
        <v>37000</v>
      </c>
      <c r="H20" s="11" t="n">
        <f aca="false">IF(A20&gt;=الافتراضات!$B$23,MAX(E20*الافتراضات!$B$21,الافتراضات!$B$22),0)</f>
        <v>5616.97381419166</v>
      </c>
      <c r="I20" s="11" t="n">
        <f aca="false">الافتراضات!$B$6</f>
        <v>340</v>
      </c>
      <c r="J20" s="11" t="n">
        <f aca="false">E20-F20-G20-H20-I20</f>
        <v>20233.9815954645</v>
      </c>
      <c r="K20" s="11" t="n">
        <f aca="false">IF(A20=1,J20,K19+J20)</f>
        <v>214597.774652411</v>
      </c>
    </row>
    <row r="21" customFormat="false" ht="15" hidden="false" customHeight="false" outlineLevel="0" collapsed="false">
      <c r="A21" s="9" t="n">
        <v>20</v>
      </c>
      <c r="B21" s="10" t="n">
        <f aca="false">IF(A21&lt;=12,الافتراضات!$B$8,IF(A21&lt;=24,الافتراضات!$B$9,الافتراضات!$B$10))</f>
        <v>3</v>
      </c>
      <c r="C21" s="10" t="n">
        <f aca="false">IF(A21=1,0,D20)*الافتراضات!$B$5</f>
        <v>0.94710664582818</v>
      </c>
      <c r="D21" s="10" t="n">
        <f aca="false">IF(A21=1,0,D20)+B21-C21</f>
        <v>33.6231148817778</v>
      </c>
      <c r="E21" s="11" t="n">
        <f aca="false">D21*الافتراضات!$B$3</f>
        <v>74777.8074970739</v>
      </c>
      <c r="F21" s="11" t="n">
        <f aca="false">E21*(1-الافتراضات!$B$4)</f>
        <v>7477.78074970739</v>
      </c>
      <c r="G21" s="11" t="n">
        <f aca="false">IF(A21&gt;=الافتراضات!$B$13,الافتراضات!$B$12,0)+IF(A21&gt;=الافتراضات!$B$15,الافتراضات!$B$14,0)+IF(A21&gt;=الافتراضات!$B$17,الافتراضات!$B$16,0)+IF(A21&gt;=الافتراضات!$B$19,الافتراضات!$B$18,0)</f>
        <v>37000</v>
      </c>
      <c r="H21" s="11" t="n">
        <f aca="false">IF(A21&gt;=الافتراضات!$B$23,MAX(E21*الافتراضات!$B$21,الافتراضات!$B$22),0)</f>
        <v>5982.22459976591</v>
      </c>
      <c r="I21" s="11" t="n">
        <f aca="false">الافتراضات!$B$6</f>
        <v>340</v>
      </c>
      <c r="J21" s="11" t="n">
        <f aca="false">E21-F21-G21-H21-I21</f>
        <v>23977.8021476006</v>
      </c>
      <c r="K21" s="11" t="n">
        <f aca="false">IF(A21=1,J21,K20+J21)</f>
        <v>238575.576800012</v>
      </c>
    </row>
    <row r="22" customFormat="false" ht="15" hidden="false" customHeight="false" outlineLevel="0" collapsed="false">
      <c r="A22" s="9" t="n">
        <v>21</v>
      </c>
      <c r="B22" s="10" t="n">
        <f aca="false">IF(A22&lt;=12,الافتراضات!$B$8,IF(A22&lt;=24,الافتراضات!$B$9,الافتراضات!$B$10))</f>
        <v>3</v>
      </c>
      <c r="C22" s="10" t="n">
        <f aca="false">IF(A22=1,0,D21)*الافتراضات!$B$5</f>
        <v>1.00869344645333</v>
      </c>
      <c r="D22" s="10" t="n">
        <f aca="false">IF(A22=1,0,D21)+B22-C22</f>
        <v>35.6144214353245</v>
      </c>
      <c r="E22" s="11" t="n">
        <f aca="false">D22*الافتراضات!$B$3</f>
        <v>79206.4732721617</v>
      </c>
      <c r="F22" s="11" t="n">
        <f aca="false">E22*(1-الافتراضات!$B$4)</f>
        <v>7920.64732721617</v>
      </c>
      <c r="G22" s="11" t="n">
        <f aca="false">IF(A22&gt;=الافتراضات!$B$13,الافتراضات!$B$12,0)+IF(A22&gt;=الافتراضات!$B$15,الافتراضات!$B$14,0)+IF(A22&gt;=الافتراضات!$B$17,الافتراضات!$B$16,0)+IF(A22&gt;=الافتراضات!$B$19,الافتراضات!$B$18,0)</f>
        <v>37000</v>
      </c>
      <c r="H22" s="11" t="n">
        <f aca="false">IF(A22&gt;=الافتراضات!$B$23,MAX(E22*الافتراضات!$B$21,الافتراضات!$B$22),0)</f>
        <v>6336.51786177293</v>
      </c>
      <c r="I22" s="11" t="n">
        <f aca="false">الافتراضات!$B$6</f>
        <v>340</v>
      </c>
      <c r="J22" s="11" t="n">
        <f aca="false">E22-F22-G22-H22-I22</f>
        <v>27609.3080831726</v>
      </c>
      <c r="K22" s="11" t="n">
        <f aca="false">IF(A22=1,J22,K21+J22)</f>
        <v>266184.884883184</v>
      </c>
    </row>
    <row r="23" customFormat="false" ht="15" hidden="false" customHeight="false" outlineLevel="0" collapsed="false">
      <c r="A23" s="9" t="n">
        <v>22</v>
      </c>
      <c r="B23" s="10" t="n">
        <f aca="false">IF(A23&lt;=12,الافتراضات!$B$8,IF(A23&lt;=24,الافتراضات!$B$9,الافتراضات!$B$10))</f>
        <v>3</v>
      </c>
      <c r="C23" s="10" t="n">
        <f aca="false">IF(A23=1,0,D22)*الافتراضات!$B$5</f>
        <v>1.06843264305973</v>
      </c>
      <c r="D23" s="10" t="n">
        <f aca="false">IF(A23=1,0,D22)+B23-C23</f>
        <v>37.5459887922648</v>
      </c>
      <c r="E23" s="11" t="n">
        <f aca="false">D23*الافتراضات!$B$3</f>
        <v>83502.2790739968</v>
      </c>
      <c r="F23" s="11" t="n">
        <f aca="false">E23*(1-الافتراضات!$B$4)</f>
        <v>8350.22790739968</v>
      </c>
      <c r="G23" s="11" t="n">
        <f aca="false">IF(A23&gt;=الافتراضات!$B$13,الافتراضات!$B$12,0)+IF(A23&gt;=الافتراضات!$B$15,الافتراضات!$B$14,0)+IF(A23&gt;=الافتراضات!$B$17,الافتراضات!$B$16,0)+IF(A23&gt;=الافتراضات!$B$19,الافتراضات!$B$18,0)</f>
        <v>37000</v>
      </c>
      <c r="H23" s="11" t="n">
        <f aca="false">IF(A23&gt;=الافتراضات!$B$23,MAX(E23*الافتراضات!$B$21,الافتراضات!$B$22),0)</f>
        <v>6680.18232591975</v>
      </c>
      <c r="I23" s="11" t="n">
        <f aca="false">الافتراضات!$B$6</f>
        <v>340</v>
      </c>
      <c r="J23" s="11" t="n">
        <f aca="false">E23-F23-G23-H23-I23</f>
        <v>31131.8688406774</v>
      </c>
      <c r="K23" s="11" t="n">
        <f aca="false">IF(A23=1,J23,K22+J23)</f>
        <v>297316.753723862</v>
      </c>
    </row>
    <row r="24" customFormat="false" ht="15" hidden="false" customHeight="false" outlineLevel="0" collapsed="false">
      <c r="A24" s="9" t="n">
        <v>23</v>
      </c>
      <c r="B24" s="10" t="n">
        <f aca="false">IF(A24&lt;=12,الافتراضات!$B$8,IF(A24&lt;=24,الافتراضات!$B$9,الافتراضات!$B$10))</f>
        <v>3</v>
      </c>
      <c r="C24" s="10" t="n">
        <f aca="false">IF(A24=1,0,D23)*الافتراضات!$B$5</f>
        <v>1.12637966376794</v>
      </c>
      <c r="D24" s="10" t="n">
        <f aca="false">IF(A24=1,0,D23)+B24-C24</f>
        <v>39.4196091284968</v>
      </c>
      <c r="E24" s="11" t="n">
        <f aca="false">D24*الافتراضات!$B$3</f>
        <v>87669.2107017769</v>
      </c>
      <c r="F24" s="11" t="n">
        <f aca="false">E24*(1-الافتراضات!$B$4)</f>
        <v>8766.92107017769</v>
      </c>
      <c r="G24" s="11" t="n">
        <f aca="false">IF(A24&gt;=الافتراضات!$B$13,الافتراضات!$B$12,0)+IF(A24&gt;=الافتراضات!$B$15,الافتراضات!$B$14,0)+IF(A24&gt;=الافتراضات!$B$17,الافتراضات!$B$16,0)+IF(A24&gt;=الافتراضات!$B$19,الافتراضات!$B$18,0)</f>
        <v>37000</v>
      </c>
      <c r="H24" s="11" t="n">
        <f aca="false">IF(A24&gt;=الافتراضات!$B$23,MAX(E24*الافتراضات!$B$21,الافتراضات!$B$22),0)</f>
        <v>7013.53685614215</v>
      </c>
      <c r="I24" s="11" t="n">
        <f aca="false">الافتراضات!$B$6</f>
        <v>340</v>
      </c>
      <c r="J24" s="11" t="n">
        <f aca="false">E24-F24-G24-H24-I24</f>
        <v>34548.7527754571</v>
      </c>
      <c r="K24" s="11" t="n">
        <f aca="false">IF(A24=1,J24,K23+J24)</f>
        <v>331865.506499319</v>
      </c>
    </row>
    <row r="25" customFormat="false" ht="15" hidden="false" customHeight="false" outlineLevel="0" collapsed="false">
      <c r="A25" s="9" t="n">
        <v>24</v>
      </c>
      <c r="B25" s="10" t="n">
        <f aca="false">IF(A25&lt;=12,الافتراضات!$B$8,IF(A25&lt;=24,الافتراضات!$B$9,الافتراضات!$B$10))</f>
        <v>3</v>
      </c>
      <c r="C25" s="10" t="n">
        <f aca="false">IF(A25=1,0,D24)*الافتراضات!$B$5</f>
        <v>1.1825882738549</v>
      </c>
      <c r="D25" s="10" t="n">
        <f aca="false">IF(A25=1,0,D24)+B25-C25</f>
        <v>41.2370208546419</v>
      </c>
      <c r="E25" s="11" t="n">
        <f aca="false">D25*الافتراضات!$B$3</f>
        <v>91711.1343807236</v>
      </c>
      <c r="F25" s="11" t="n">
        <f aca="false">E25*(1-الافتراضات!$B$4)</f>
        <v>9171.11343807236</v>
      </c>
      <c r="G25" s="11" t="n">
        <f aca="false">IF(A25&gt;=الافتراضات!$B$13,الافتراضات!$B$12,0)+IF(A25&gt;=الافتراضات!$B$15,الافتراضات!$B$14,0)+IF(A25&gt;=الافتراضات!$B$17,الافتراضات!$B$16,0)+IF(A25&gt;=الافتراضات!$B$19,الافتراضات!$B$18,0)</f>
        <v>37000</v>
      </c>
      <c r="H25" s="11" t="n">
        <f aca="false">IF(A25&gt;=الافتراضات!$B$23,MAX(E25*الافتراضات!$B$21,الافتراضات!$B$22),0)</f>
        <v>7336.89075045789</v>
      </c>
      <c r="I25" s="11" t="n">
        <f aca="false">الافتراضات!$B$6</f>
        <v>340</v>
      </c>
      <c r="J25" s="11" t="n">
        <f aca="false">E25-F25-G25-H25-I25</f>
        <v>37863.1301921934</v>
      </c>
      <c r="K25" s="11" t="n">
        <f aca="false">IF(A25=1,J25,K24+J25)</f>
        <v>369728.636691512</v>
      </c>
    </row>
    <row r="26" customFormat="false" ht="15" hidden="false" customHeight="false" outlineLevel="0" collapsed="false">
      <c r="A26" s="9" t="n">
        <v>25</v>
      </c>
      <c r="B26" s="10" t="n">
        <f aca="false">IF(A26&lt;=12,الافتراضات!$B$8,IF(A26&lt;=24,الافتراضات!$B$9,الافتراضات!$B$10))</f>
        <v>5</v>
      </c>
      <c r="C26" s="10" t="n">
        <f aca="false">IF(A26=1,0,D25)*الافتراضات!$B$5</f>
        <v>1.23711062563926</v>
      </c>
      <c r="D26" s="10" t="n">
        <f aca="false">IF(A26=1,0,D25)+B26-C26</f>
        <v>44.9999102290027</v>
      </c>
      <c r="E26" s="11" t="n">
        <f aca="false">D26*الافتراضات!$B$3</f>
        <v>100079.800349302</v>
      </c>
      <c r="F26" s="11" t="n">
        <f aca="false">E26*(1-الافتراضات!$B$4)</f>
        <v>10007.9800349302</v>
      </c>
      <c r="G26" s="11" t="n">
        <f aca="false">IF(A26&gt;=الافتراضات!$B$13,الافتراضات!$B$12,0)+IF(A26&gt;=الافتراضات!$B$15,الافتراضات!$B$14,0)+IF(A26&gt;=الافتراضات!$B$17,الافتراضات!$B$16,0)+IF(A26&gt;=الافتراضات!$B$19,الافتراضات!$B$18,0)</f>
        <v>37000</v>
      </c>
      <c r="H26" s="11" t="n">
        <f aca="false">IF(A26&gt;=الافتراضات!$B$23,MAX(E26*الافتراضات!$B$21,الافتراضات!$B$22),0)</f>
        <v>8006.38402794415</v>
      </c>
      <c r="I26" s="11" t="n">
        <f aca="false">الافتراضات!$B$6</f>
        <v>340</v>
      </c>
      <c r="J26" s="11" t="n">
        <f aca="false">E26-F26-G26-H26-I26</f>
        <v>44725.4362864275</v>
      </c>
      <c r="K26" s="11" t="n">
        <f aca="false">IF(A26=1,J26,K25+J26)</f>
        <v>414454.07297794</v>
      </c>
    </row>
    <row r="27" customFormat="false" ht="15" hidden="false" customHeight="false" outlineLevel="0" collapsed="false">
      <c r="A27" s="9" t="n">
        <v>26</v>
      </c>
      <c r="B27" s="10" t="n">
        <f aca="false">IF(A27&lt;=12,الافتراضات!$B$8,IF(A27&lt;=24,الافتراضات!$B$9,الافتراضات!$B$10))</f>
        <v>5</v>
      </c>
      <c r="C27" s="10" t="n">
        <f aca="false">IF(A27=1,0,D26)*الافتراضات!$B$5</f>
        <v>1.34999730687008</v>
      </c>
      <c r="D27" s="10" t="n">
        <f aca="false">IF(A27=1,0,D26)+B27-C27</f>
        <v>48.6499129221326</v>
      </c>
      <c r="E27" s="11" t="n">
        <f aca="false">D27*الافتراضات!$B$3</f>
        <v>108197.406338823</v>
      </c>
      <c r="F27" s="11" t="n">
        <f aca="false">E27*(1-الافتراضات!$B$4)</f>
        <v>10819.7406338823</v>
      </c>
      <c r="G27" s="11" t="n">
        <f aca="false">IF(A27&gt;=الافتراضات!$B$13,الافتراضات!$B$12,0)+IF(A27&gt;=الافتراضات!$B$15,الافتراضات!$B$14,0)+IF(A27&gt;=الافتراضات!$B$17,الافتراضات!$B$16,0)+IF(A27&gt;=الافتراضات!$B$19,الافتراضات!$B$18,0)</f>
        <v>37000</v>
      </c>
      <c r="H27" s="11" t="n">
        <f aca="false">IF(A27&gt;=الافتراضات!$B$23,MAX(E27*الافتراضات!$B$21,الافتراضات!$B$22),0)</f>
        <v>8655.79250710583</v>
      </c>
      <c r="I27" s="11" t="n">
        <f aca="false">الافتراضات!$B$6</f>
        <v>340</v>
      </c>
      <c r="J27" s="11" t="n">
        <f aca="false">E27-F27-G27-H27-I27</f>
        <v>51381.8731978347</v>
      </c>
      <c r="K27" s="11" t="n">
        <f aca="false">IF(A27=1,J27,K26+J27)</f>
        <v>465835.946175774</v>
      </c>
    </row>
    <row r="28" customFormat="false" ht="15" hidden="false" customHeight="false" outlineLevel="0" collapsed="false">
      <c r="A28" s="9" t="n">
        <v>27</v>
      </c>
      <c r="B28" s="10" t="n">
        <f aca="false">IF(A28&lt;=12,الافتراضات!$B$8,IF(A28&lt;=24,الافتراضات!$B$9,الافتراضات!$B$10))</f>
        <v>5</v>
      </c>
      <c r="C28" s="10" t="n">
        <f aca="false">IF(A28=1,0,D27)*الافتراضات!$B$5</f>
        <v>1.45949738766398</v>
      </c>
      <c r="D28" s="10" t="n">
        <f aca="false">IF(A28=1,0,D27)+B28-C28</f>
        <v>52.1904155344686</v>
      </c>
      <c r="E28" s="11" t="n">
        <f aca="false">D28*الافتراضات!$B$3</f>
        <v>116071.484148658</v>
      </c>
      <c r="F28" s="11" t="n">
        <f aca="false">E28*(1-الافتراضات!$B$4)</f>
        <v>11607.1484148658</v>
      </c>
      <c r="G28" s="11" t="n">
        <f aca="false">IF(A28&gt;=الافتراضات!$B$13,الافتراضات!$B$12,0)+IF(A28&gt;=الافتراضات!$B$15,الافتراضات!$B$14,0)+IF(A28&gt;=الافتراضات!$B$17,الافتراضات!$B$16,0)+IF(A28&gt;=الافتراضات!$B$19,الافتراضات!$B$18,0)</f>
        <v>37000</v>
      </c>
      <c r="H28" s="11" t="n">
        <f aca="false">IF(A28&gt;=الافتراضات!$B$23,MAX(E28*الافتراضات!$B$21,الافتراضات!$B$22),0)</f>
        <v>9285.71873189265</v>
      </c>
      <c r="I28" s="11" t="n">
        <f aca="false">الافتراضات!$B$6</f>
        <v>340</v>
      </c>
      <c r="J28" s="11" t="n">
        <f aca="false">E28-F28-G28-H28-I28</f>
        <v>57838.6170018997</v>
      </c>
      <c r="K28" s="11" t="n">
        <f aca="false">IF(A28=1,J28,K27+J28)</f>
        <v>523674.563177674</v>
      </c>
    </row>
    <row r="29" customFormat="false" ht="15" hidden="false" customHeight="false" outlineLevel="0" collapsed="false">
      <c r="A29" s="9" t="n">
        <v>28</v>
      </c>
      <c r="B29" s="10" t="n">
        <f aca="false">IF(A29&lt;=12,الافتراضات!$B$8,IF(A29&lt;=24,الافتراضات!$B$9,الافتراضات!$B$10))</f>
        <v>5</v>
      </c>
      <c r="C29" s="10" t="n">
        <f aca="false">IF(A29=1,0,D28)*الافتراضات!$B$5</f>
        <v>1.56571246603406</v>
      </c>
      <c r="D29" s="10" t="n">
        <f aca="false">IF(A29=1,0,D28)+B29-C29</f>
        <v>55.6247030684345</v>
      </c>
      <c r="E29" s="11" t="n">
        <f aca="false">D29*الافتراضات!$B$3</f>
        <v>123709.339624198</v>
      </c>
      <c r="F29" s="11" t="n">
        <f aca="false">E29*(1-الافتراضات!$B$4)</f>
        <v>12370.9339624198</v>
      </c>
      <c r="G29" s="11" t="n">
        <f aca="false">IF(A29&gt;=الافتراضات!$B$13,الافتراضات!$B$12,0)+IF(A29&gt;=الافتراضات!$B$15,الافتراضات!$B$14,0)+IF(A29&gt;=الافتراضات!$B$17,الافتراضات!$B$16,0)+IF(A29&gt;=الافتراضات!$B$19,الافتراضات!$B$18,0)</f>
        <v>57000</v>
      </c>
      <c r="H29" s="11" t="n">
        <f aca="false">IF(A29&gt;=الافتراضات!$B$23,MAX(E29*الافتراضات!$B$21,الافتراضات!$B$22),0)</f>
        <v>9896.74716993587</v>
      </c>
      <c r="I29" s="11" t="n">
        <f aca="false">الافتراضات!$B$6</f>
        <v>340</v>
      </c>
      <c r="J29" s="11" t="n">
        <f aca="false">E29-F29-G29-H29-I29</f>
        <v>44101.6584918427</v>
      </c>
      <c r="K29" s="11" t="n">
        <f aca="false">IF(A29=1,J29,K28+J29)</f>
        <v>567776.221669517</v>
      </c>
    </row>
    <row r="30" customFormat="false" ht="15" hidden="false" customHeight="false" outlineLevel="0" collapsed="false">
      <c r="A30" s="9" t="n">
        <v>29</v>
      </c>
      <c r="B30" s="10" t="n">
        <f aca="false">IF(A30&lt;=12,الافتراضات!$B$8,IF(A30&lt;=24,الافتراضات!$B$9,الافتراضات!$B$10))</f>
        <v>5</v>
      </c>
      <c r="C30" s="10" t="n">
        <f aca="false">IF(A30=1,0,D29)*الافتراضات!$B$5</f>
        <v>1.66874109205304</v>
      </c>
      <c r="D30" s="10" t="n">
        <f aca="false">IF(A30=1,0,D29)+B30-C30</f>
        <v>58.9559619763815</v>
      </c>
      <c r="E30" s="11" t="n">
        <f aca="false">D30*الافتراضات!$B$3</f>
        <v>131118.059435472</v>
      </c>
      <c r="F30" s="11" t="n">
        <f aca="false">E30*(1-الافتراضات!$B$4)</f>
        <v>13111.8059435472</v>
      </c>
      <c r="G30" s="11" t="n">
        <f aca="false">IF(A30&gt;=الافتراضات!$B$13,الافتراضات!$B$12,0)+IF(A30&gt;=الافتراضات!$B$15,الافتراضات!$B$14,0)+IF(A30&gt;=الافتراضات!$B$17,الافتراضات!$B$16,0)+IF(A30&gt;=الافتراضات!$B$19,الافتراضات!$B$18,0)</f>
        <v>57000</v>
      </c>
      <c r="H30" s="11" t="n">
        <f aca="false">IF(A30&gt;=الافتراضات!$B$23,MAX(E30*الافتراضات!$B$21,الافتراضات!$B$22),0)</f>
        <v>10489.4447548378</v>
      </c>
      <c r="I30" s="11" t="n">
        <f aca="false">الافتراضات!$B$6</f>
        <v>340</v>
      </c>
      <c r="J30" s="11" t="n">
        <f aca="false">E30-F30-G30-H30-I30</f>
        <v>50176.8087370874</v>
      </c>
      <c r="K30" s="11" t="n">
        <f aca="false">IF(A30=1,J30,K29+J30)</f>
        <v>617953.030406604</v>
      </c>
    </row>
    <row r="31" customFormat="false" ht="15" hidden="false" customHeight="false" outlineLevel="0" collapsed="false">
      <c r="A31" s="9" t="n">
        <v>30</v>
      </c>
      <c r="B31" s="10" t="n">
        <f aca="false">IF(A31&lt;=12,الافتراضات!$B$8,IF(A31&lt;=24,الافتراضات!$B$9,الافتراضات!$B$10))</f>
        <v>5</v>
      </c>
      <c r="C31" s="10" t="n">
        <f aca="false">IF(A31=1,0,D30)*الافتراضات!$B$5</f>
        <v>1.76867885929145</v>
      </c>
      <c r="D31" s="10" t="n">
        <f aca="false">IF(A31=1,0,D30)+B31-C31</f>
        <v>62.1872831170901</v>
      </c>
      <c r="E31" s="11" t="n">
        <f aca="false">D31*الافتراضات!$B$3</f>
        <v>138304.517652408</v>
      </c>
      <c r="F31" s="11" t="n">
        <f aca="false">E31*(1-الافتراضات!$B$4)</f>
        <v>13830.4517652408</v>
      </c>
      <c r="G31" s="11" t="n">
        <f aca="false">IF(A31&gt;=الافتراضات!$B$13,الافتراضات!$B$12,0)+IF(A31&gt;=الافتراضات!$B$15,الافتراضات!$B$14,0)+IF(A31&gt;=الافتراضات!$B$17,الافتراضات!$B$16,0)+IF(A31&gt;=الافتراضات!$B$19,الافتراضات!$B$18,0)</f>
        <v>57000</v>
      </c>
      <c r="H31" s="11" t="n">
        <f aca="false">IF(A31&gt;=الافتراضات!$B$23,MAX(E31*الافتراضات!$B$21,الافتراضات!$B$22),0)</f>
        <v>11064.3614121927</v>
      </c>
      <c r="I31" s="11" t="n">
        <f aca="false">الافتراضات!$B$6</f>
        <v>340</v>
      </c>
      <c r="J31" s="11" t="n">
        <f aca="false">E31-F31-G31-H31-I31</f>
        <v>56069.7044749748</v>
      </c>
      <c r="K31" s="11" t="n">
        <f aca="false">IF(A31=1,J31,K30+J31)</f>
        <v>674022.734881579</v>
      </c>
    </row>
    <row r="32" customFormat="false" ht="15" hidden="false" customHeight="false" outlineLevel="0" collapsed="false">
      <c r="A32" s="9" t="n">
        <v>31</v>
      </c>
      <c r="B32" s="10" t="n">
        <f aca="false">IF(A32&lt;=12,الافتراضات!$B$8,IF(A32&lt;=24,الافتراضات!$B$9,الافتراضات!$B$10))</f>
        <v>5</v>
      </c>
      <c r="C32" s="10" t="n">
        <f aca="false">IF(A32=1,0,D31)*الافتراضات!$B$5</f>
        <v>1.8656184935127</v>
      </c>
      <c r="D32" s="10" t="n">
        <f aca="false">IF(A32=1,0,D31)+B32-C32</f>
        <v>65.3216646235774</v>
      </c>
      <c r="E32" s="11" t="n">
        <f aca="false">D32*الافتراضات!$B$3</f>
        <v>145275.382122836</v>
      </c>
      <c r="F32" s="11" t="n">
        <f aca="false">E32*(1-الافتراضات!$B$4)</f>
        <v>14527.5382122836</v>
      </c>
      <c r="G32" s="11" t="n">
        <f aca="false">IF(A32&gt;=الافتراضات!$B$13,الافتراضات!$B$12,0)+IF(A32&gt;=الافتراضات!$B$15,الافتراضات!$B$14,0)+IF(A32&gt;=الافتراضات!$B$17,الافتراضات!$B$16,0)+IF(A32&gt;=الافتراضات!$B$19,الافتراضات!$B$18,0)</f>
        <v>57000</v>
      </c>
      <c r="H32" s="11" t="n">
        <f aca="false">IF(A32&gt;=الافتراضات!$B$23,MAX(E32*الافتراضات!$B$21,الافتراضات!$B$22),0)</f>
        <v>11622.0305698269</v>
      </c>
      <c r="I32" s="11" t="n">
        <f aca="false">الافتراضات!$B$6</f>
        <v>340</v>
      </c>
      <c r="J32" s="11" t="n">
        <f aca="false">E32-F32-G32-H32-I32</f>
        <v>61785.8133407256</v>
      </c>
      <c r="K32" s="11" t="n">
        <f aca="false">IF(A32=1,J32,K31+J32)</f>
        <v>735808.548222305</v>
      </c>
    </row>
    <row r="33" customFormat="false" ht="15" hidden="false" customHeight="false" outlineLevel="0" collapsed="false">
      <c r="A33" s="9" t="n">
        <v>32</v>
      </c>
      <c r="B33" s="10" t="n">
        <f aca="false">IF(A33&lt;=12,الافتراضات!$B$8,IF(A33&lt;=24,الافتراضات!$B$9,الافتراضات!$B$10))</f>
        <v>5</v>
      </c>
      <c r="C33" s="10" t="n">
        <f aca="false">IF(A33=1,0,D32)*الافتراضات!$B$5</f>
        <v>1.95964993870732</v>
      </c>
      <c r="D33" s="10" t="n">
        <f aca="false">IF(A33=1,0,D32)+B33-C33</f>
        <v>68.3620146848701</v>
      </c>
      <c r="E33" s="11" t="n">
        <f aca="false">D33*الافتراضات!$B$3</f>
        <v>152037.120659151</v>
      </c>
      <c r="F33" s="11" t="n">
        <f aca="false">E33*(1-الافتراضات!$B$4)</f>
        <v>15203.7120659151</v>
      </c>
      <c r="G33" s="11" t="n">
        <f aca="false">IF(A33&gt;=الافتراضات!$B$13,الافتراضات!$B$12,0)+IF(A33&gt;=الافتراضات!$B$15,الافتراضات!$B$14,0)+IF(A33&gt;=الافتراضات!$B$17,الافتراضات!$B$16,0)+IF(A33&gt;=الافتراضات!$B$19,الافتراضات!$B$18,0)</f>
        <v>57000</v>
      </c>
      <c r="H33" s="11" t="n">
        <f aca="false">IF(A33&gt;=الافتراضات!$B$23,MAX(E33*الافتراضات!$B$21,الافتراضات!$B$22),0)</f>
        <v>12162.9696527321</v>
      </c>
      <c r="I33" s="11" t="n">
        <f aca="false">الافتراضات!$B$6</f>
        <v>340</v>
      </c>
      <c r="J33" s="11" t="n">
        <f aca="false">E33-F33-G33-H33-I33</f>
        <v>67330.4389405038</v>
      </c>
      <c r="K33" s="11" t="n">
        <f aca="false">IF(A33=1,J33,K32+J33)</f>
        <v>803138.987162808</v>
      </c>
    </row>
    <row r="34" customFormat="false" ht="15" hidden="false" customHeight="false" outlineLevel="0" collapsed="false">
      <c r="A34" s="9" t="n">
        <v>33</v>
      </c>
      <c r="B34" s="10" t="n">
        <f aca="false">IF(A34&lt;=12,الافتراضات!$B$8,IF(A34&lt;=24,الافتراضات!$B$9,الافتراضات!$B$10))</f>
        <v>5</v>
      </c>
      <c r="C34" s="10" t="n">
        <f aca="false">IF(A34=1,0,D33)*الافتراضات!$B$5</f>
        <v>2.0508604405461</v>
      </c>
      <c r="D34" s="10" t="n">
        <f aca="false">IF(A34=1,0,D33)+B34-C34</f>
        <v>71.3111542443239</v>
      </c>
      <c r="E34" s="11" t="n">
        <f aca="false">D34*الافتراضات!$B$3</f>
        <v>158596.007039376</v>
      </c>
      <c r="F34" s="11" t="n">
        <f aca="false">E34*(1-الافتراضات!$B$4)</f>
        <v>15859.6007039376</v>
      </c>
      <c r="G34" s="11" t="n">
        <f aca="false">IF(A34&gt;=الافتراضات!$B$13,الافتراضات!$B$12,0)+IF(A34&gt;=الافتراضات!$B$15,الافتراضات!$B$14,0)+IF(A34&gt;=الافتراضات!$B$17,الافتراضات!$B$16,0)+IF(A34&gt;=الافتراضات!$B$19,الافتراضات!$B$18,0)</f>
        <v>57000</v>
      </c>
      <c r="H34" s="11" t="n">
        <f aca="false">IF(A34&gt;=الافتراضات!$B$23,MAX(E34*الافتراضات!$B$21,الافتراضات!$B$22),0)</f>
        <v>12687.6805631501</v>
      </c>
      <c r="I34" s="11" t="n">
        <f aca="false">الافتراضات!$B$6</f>
        <v>340</v>
      </c>
      <c r="J34" s="11" t="n">
        <f aca="false">E34-F34-G34-H34-I34</f>
        <v>72708.7257722887</v>
      </c>
      <c r="K34" s="11" t="n">
        <f aca="false">IF(A34=1,J34,K33+J34)</f>
        <v>875847.712935097</v>
      </c>
    </row>
    <row r="35" customFormat="false" ht="15" hidden="false" customHeight="false" outlineLevel="0" collapsed="false">
      <c r="A35" s="9" t="n">
        <v>34</v>
      </c>
      <c r="B35" s="10" t="n">
        <f aca="false">IF(A35&lt;=12,الافتراضات!$B$8,IF(A35&lt;=24,الافتراضات!$B$9,الافتراضات!$B$10))</f>
        <v>5</v>
      </c>
      <c r="C35" s="10" t="n">
        <f aca="false">IF(A35=1,0,D34)*الافتراضات!$B$5</f>
        <v>2.13933462732972</v>
      </c>
      <c r="D35" s="10" t="n">
        <f aca="false">IF(A35=1,0,D34)+B35-C35</f>
        <v>74.1718196169942</v>
      </c>
      <c r="E35" s="11" t="n">
        <f aca="false">D35*الافتراضات!$B$3</f>
        <v>164958.126828195</v>
      </c>
      <c r="F35" s="11" t="n">
        <f aca="false">E35*(1-الافتراضات!$B$4)</f>
        <v>16495.8126828195</v>
      </c>
      <c r="G35" s="11" t="n">
        <f aca="false">IF(A35&gt;=الافتراضات!$B$13,الافتراضات!$B$12,0)+IF(A35&gt;=الافتراضات!$B$15,الافتراضات!$B$14,0)+IF(A35&gt;=الافتراضات!$B$17,الافتراضات!$B$16,0)+IF(A35&gt;=الافتراضات!$B$19,الافتراضات!$B$18,0)</f>
        <v>57000</v>
      </c>
      <c r="H35" s="11" t="n">
        <f aca="false">IF(A35&gt;=الافتراضات!$B$23,MAX(E35*الافتراضات!$B$21,الافتراضات!$B$22),0)</f>
        <v>13196.6501462556</v>
      </c>
      <c r="I35" s="11" t="n">
        <f aca="false">الافتراضات!$B$6</f>
        <v>340</v>
      </c>
      <c r="J35" s="11" t="n">
        <f aca="false">E35-F35-G35-H35-I35</f>
        <v>77925.66399912</v>
      </c>
      <c r="K35" s="11" t="n">
        <f aca="false">IF(A35=1,J35,K34+J35)</f>
        <v>953773.376934217</v>
      </c>
    </row>
    <row r="36" customFormat="false" ht="15" hidden="false" customHeight="false" outlineLevel="0" collapsed="false">
      <c r="A36" s="9" t="n">
        <v>35</v>
      </c>
      <c r="B36" s="10" t="n">
        <f aca="false">IF(A36&lt;=12,الافتراضات!$B$8,IF(A36&lt;=24,الافتراضات!$B$9,الافتراضات!$B$10))</f>
        <v>5</v>
      </c>
      <c r="C36" s="10" t="n">
        <f aca="false">IF(A36=1,0,D35)*الافتراضات!$B$5</f>
        <v>2.22515458850983</v>
      </c>
      <c r="D36" s="10" t="n">
        <f aca="false">IF(A36=1,0,D35)+B36-C36</f>
        <v>76.9466650284844</v>
      </c>
      <c r="E36" s="11" t="n">
        <f aca="false">D36*الافتراضات!$B$3</f>
        <v>171129.383023349</v>
      </c>
      <c r="F36" s="11" t="n">
        <f aca="false">E36*(1-الافتراضات!$B$4)</f>
        <v>17112.9383023349</v>
      </c>
      <c r="G36" s="11" t="n">
        <f aca="false">IF(A36&gt;=الافتراضات!$B$13,الافتراضات!$B$12,0)+IF(A36&gt;=الافتراضات!$B$15,الافتراضات!$B$14,0)+IF(A36&gt;=الافتراضات!$B$17,الافتراضات!$B$16,0)+IF(A36&gt;=الافتراضات!$B$19,الافتراضات!$B$18,0)</f>
        <v>57000</v>
      </c>
      <c r="H36" s="11" t="n">
        <f aca="false">IF(A36&gt;=الافتراضات!$B$23,MAX(E36*الافتراضات!$B$21,الافتراضات!$B$22),0)</f>
        <v>13690.3506418679</v>
      </c>
      <c r="I36" s="11" t="n">
        <f aca="false">الافتراضات!$B$6</f>
        <v>340</v>
      </c>
      <c r="J36" s="11" t="n">
        <f aca="false">E36-F36-G36-H36-I36</f>
        <v>82986.0940791464</v>
      </c>
      <c r="K36" s="11" t="n">
        <f aca="false">IF(A36=1,J36,K35+J36)</f>
        <v>1036759.47101336</v>
      </c>
    </row>
    <row r="37" customFormat="false" ht="15" hidden="false" customHeight="false" outlineLevel="0" collapsed="false">
      <c r="A37" s="9" t="n">
        <v>36</v>
      </c>
      <c r="B37" s="10" t="n">
        <f aca="false">IF(A37&lt;=12,الافتراضات!$B$8,IF(A37&lt;=24,الافتراضات!$B$9,الافتراضات!$B$10))</f>
        <v>5</v>
      </c>
      <c r="C37" s="10" t="n">
        <f aca="false">IF(A37=1,0,D36)*الافتراضات!$B$5</f>
        <v>2.30839995085453</v>
      </c>
      <c r="D37" s="10" t="n">
        <f aca="false">IF(A37=1,0,D36)+B37-C37</f>
        <v>79.6382650776299</v>
      </c>
      <c r="E37" s="11" t="n">
        <f aca="false">D37*الافتراضات!$B$3</f>
        <v>177115.501532649</v>
      </c>
      <c r="F37" s="11" t="n">
        <f aca="false">E37*(1-الافتراضات!$B$4)</f>
        <v>17711.5501532649</v>
      </c>
      <c r="G37" s="11" t="n">
        <f aca="false">IF(A37&gt;=الافتراضات!$B$13,الافتراضات!$B$12,0)+IF(A37&gt;=الافتراضات!$B$15,الافتراضات!$B$14,0)+IF(A37&gt;=الافتراضات!$B$17,الافتراضات!$B$16,0)+IF(A37&gt;=الافتراضات!$B$19,الافتراضات!$B$18,0)</f>
        <v>57000</v>
      </c>
      <c r="H37" s="11" t="n">
        <f aca="false">IF(A37&gt;=الافتراضات!$B$23,MAX(E37*الافتراضات!$B$21,الافتراضات!$B$22),0)</f>
        <v>14169.2401226119</v>
      </c>
      <c r="I37" s="11" t="n">
        <f aca="false">الافتراضات!$B$6</f>
        <v>340</v>
      </c>
      <c r="J37" s="11" t="n">
        <f aca="false">E37-F37-G37-H37-I37</f>
        <v>87894.711256772</v>
      </c>
      <c r="K37" s="11" t="n">
        <f aca="false">IF(A37=1,J37,K36+J37)</f>
        <v>1124654.18227014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40</v>
      </c>
    </row>
    <row r="3" customFormat="false" ht="15" hidden="false" customHeight="false" outlineLevel="0" collapsed="false">
      <c r="B3" s="12" t="s">
        <v>41</v>
      </c>
      <c r="C3" s="12" t="s">
        <v>42</v>
      </c>
      <c r="D3" s="12" t="s">
        <v>43</v>
      </c>
    </row>
    <row r="4" customFormat="false" ht="15" hidden="false" customHeight="false" outlineLevel="0" collapsed="false">
      <c r="A4" s="13" t="s">
        <v>44</v>
      </c>
      <c r="B4" s="14" t="n">
        <f aca="false">الشهري!D13</f>
        <v>15.3078819502281</v>
      </c>
      <c r="C4" s="14" t="n">
        <f aca="false">الشهري!D25</f>
        <v>41.2370208546419</v>
      </c>
      <c r="D4" s="14" t="n">
        <f aca="false">الشهري!D37</f>
        <v>79.6382650776299</v>
      </c>
    </row>
    <row r="5" customFormat="false" ht="15" hidden="false" customHeight="false" outlineLevel="0" collapsed="false">
      <c r="A5" s="13" t="s">
        <v>45</v>
      </c>
      <c r="B5" s="15" t="n">
        <f aca="false">الشهري!E13*12</f>
        <v>408536.753487687</v>
      </c>
      <c r="C5" s="15" t="n">
        <f aca="false">الشهري!E25*12</f>
        <v>1100533.61256868</v>
      </c>
      <c r="D5" s="15" t="n">
        <f aca="false">الشهري!E37*12</f>
        <v>2125386.01839179</v>
      </c>
    </row>
    <row r="6" customFormat="false" ht="15" hidden="false" customHeight="false" outlineLevel="0" collapsed="false">
      <c r="A6" s="13" t="s">
        <v>46</v>
      </c>
      <c r="B6" s="15" t="n">
        <f aca="false">SUM(الشهري!E2:E13)</f>
        <v>233620.414213731</v>
      </c>
      <c r="C6" s="15" t="n">
        <f aca="false">SUM(الشهري!E14:E25)</f>
        <v>804252.907476205</v>
      </c>
      <c r="D6" s="15" t="n">
        <f aca="false">SUM(الشهري!E26:E37)</f>
        <v>1686592.12875442</v>
      </c>
    </row>
    <row r="7" customFormat="false" ht="15" hidden="false" customHeight="false" outlineLevel="0" collapsed="false">
      <c r="A7" s="13" t="s">
        <v>47</v>
      </c>
      <c r="B7" s="15" t="n">
        <f aca="false">SUM(الشهري!J2:J13)</f>
        <v>98321.2525610236</v>
      </c>
      <c r="C7" s="15" t="n">
        <f aca="false">SUM(الشهري!J14:J25)</f>
        <v>271407.384130488</v>
      </c>
      <c r="D7" s="15" t="n">
        <f aca="false">SUM(الشهري!J26:J37)</f>
        <v>754925.545578623</v>
      </c>
    </row>
    <row r="8" customFormat="false" ht="15" hidden="false" customHeight="false" outlineLevel="0" collapsed="false">
      <c r="A8" s="13" t="s">
        <v>48</v>
      </c>
      <c r="B8" s="15" t="n">
        <f aca="false">الشهري!K13</f>
        <v>98321.2525610237</v>
      </c>
      <c r="C8" s="15" t="n">
        <f aca="false">الشهري!K25</f>
        <v>369728.636691512</v>
      </c>
      <c r="D8" s="15" t="n">
        <f aca="false">الشهري!K37</f>
        <v>1124654.18227014</v>
      </c>
    </row>
    <row r="10" customFormat="false" ht="15" hidden="false" customHeight="false" outlineLevel="0" collapsed="false">
      <c r="A10" s="13" t="s">
        <v>49</v>
      </c>
      <c r="B10" s="15" t="n">
        <f aca="false">MIN(الشهري!K2:K37)</f>
        <v>2662.4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16" t="s">
        <v>51</v>
      </c>
    </row>
    <row r="4" customFormat="false" ht="15" hidden="false" customHeight="false" outlineLevel="0" collapsed="false">
      <c r="A4" s="17" t="s">
        <v>52</v>
      </c>
    </row>
    <row r="5" customFormat="false" ht="15" hidden="false" customHeight="false" outlineLevel="0" collapsed="false">
      <c r="B5" s="13" t="s">
        <v>41</v>
      </c>
      <c r="C5" s="13" t="s">
        <v>42</v>
      </c>
      <c r="D5" s="13" t="s">
        <v>43</v>
      </c>
    </row>
    <row r="6" customFormat="false" ht="15" hidden="false" customHeight="false" outlineLevel="0" collapsed="false">
      <c r="A6" s="2" t="s">
        <v>44</v>
      </c>
      <c r="B6" s="18" t="n">
        <v>5</v>
      </c>
      <c r="C6" s="18" t="n">
        <v>19</v>
      </c>
      <c r="D6" s="18" t="n">
        <v>39</v>
      </c>
    </row>
    <row r="7" customFormat="false" ht="15" hidden="false" customHeight="false" outlineLevel="0" collapsed="false">
      <c r="A7" s="2" t="s">
        <v>53</v>
      </c>
      <c r="B7" s="18" t="n">
        <v>136179</v>
      </c>
      <c r="C7" s="18" t="n">
        <v>503023</v>
      </c>
      <c r="D7" s="18" t="n">
        <v>1029914</v>
      </c>
    </row>
    <row r="8" customFormat="false" ht="15" hidden="false" customHeight="false" outlineLevel="0" collapsed="false">
      <c r="A8" s="2" t="s">
        <v>46</v>
      </c>
      <c r="B8" s="18" t="n">
        <v>77873</v>
      </c>
      <c r="C8" s="18" t="n">
        <v>345958</v>
      </c>
      <c r="D8" s="18" t="n">
        <v>804324</v>
      </c>
    </row>
    <row r="9" customFormat="false" ht="15" hidden="false" customHeight="false" outlineLevel="0" collapsed="false">
      <c r="A9" s="2" t="s">
        <v>47</v>
      </c>
      <c r="B9" s="18" t="n">
        <v>-37494</v>
      </c>
      <c r="C9" s="18" t="n">
        <v>27133</v>
      </c>
      <c r="D9" s="18" t="n">
        <v>271466</v>
      </c>
    </row>
    <row r="10" customFormat="false" ht="15" hidden="false" customHeight="false" outlineLevel="0" collapsed="false">
      <c r="A10" s="2" t="s">
        <v>54</v>
      </c>
      <c r="B10" s="18" t="n">
        <v>-37494</v>
      </c>
      <c r="C10" s="18" t="n">
        <v>-10361</v>
      </c>
      <c r="D10" s="18" t="n">
        <v>261105</v>
      </c>
    </row>
    <row r="13" customFormat="false" ht="15" hidden="false" customHeight="false" outlineLevel="0" collapsed="false">
      <c r="A13" s="17" t="s">
        <v>55</v>
      </c>
    </row>
    <row r="14" customFormat="false" ht="15" hidden="false" customHeight="false" outlineLevel="0" collapsed="false">
      <c r="B14" s="13" t="s">
        <v>41</v>
      </c>
      <c r="C14" s="13" t="s">
        <v>42</v>
      </c>
      <c r="D14" s="13" t="s">
        <v>43</v>
      </c>
    </row>
    <row r="15" customFormat="false" ht="15" hidden="false" customHeight="false" outlineLevel="0" collapsed="false">
      <c r="A15" s="2" t="s">
        <v>44</v>
      </c>
      <c r="B15" s="18" t="n">
        <v>15</v>
      </c>
      <c r="C15" s="18" t="n">
        <v>41</v>
      </c>
      <c r="D15" s="18" t="n">
        <v>80</v>
      </c>
    </row>
    <row r="16" customFormat="false" ht="15" hidden="false" customHeight="false" outlineLevel="0" collapsed="false">
      <c r="A16" s="2" t="s">
        <v>53</v>
      </c>
      <c r="B16" s="18" t="n">
        <v>408537</v>
      </c>
      <c r="C16" s="18" t="n">
        <v>1100534</v>
      </c>
      <c r="D16" s="18" t="n">
        <v>2125386</v>
      </c>
    </row>
    <row r="17" customFormat="false" ht="15" hidden="false" customHeight="false" outlineLevel="0" collapsed="false">
      <c r="A17" s="2" t="s">
        <v>46</v>
      </c>
      <c r="B17" s="18" t="n">
        <v>233620</v>
      </c>
      <c r="C17" s="18" t="n">
        <v>804253</v>
      </c>
      <c r="D17" s="18" t="n">
        <v>1686592</v>
      </c>
    </row>
    <row r="18" customFormat="false" ht="15" hidden="false" customHeight="false" outlineLevel="0" collapsed="false">
      <c r="A18" s="2" t="s">
        <v>47</v>
      </c>
      <c r="B18" s="18" t="n">
        <v>98321</v>
      </c>
      <c r="C18" s="18" t="n">
        <v>271407</v>
      </c>
      <c r="D18" s="18" t="n">
        <v>754926</v>
      </c>
    </row>
    <row r="19" customFormat="false" ht="15" hidden="false" customHeight="false" outlineLevel="0" collapsed="false">
      <c r="A19" s="2" t="s">
        <v>54</v>
      </c>
      <c r="B19" s="18" t="n">
        <v>98321</v>
      </c>
      <c r="C19" s="18" t="n">
        <v>369729</v>
      </c>
      <c r="D19" s="18" t="n">
        <v>1124654</v>
      </c>
    </row>
    <row r="22" customFormat="false" ht="15" hidden="false" customHeight="false" outlineLevel="0" collapsed="false">
      <c r="A22" s="17" t="s">
        <v>56</v>
      </c>
    </row>
    <row r="23" customFormat="false" ht="15" hidden="false" customHeight="false" outlineLevel="0" collapsed="false">
      <c r="B23" s="13" t="s">
        <v>41</v>
      </c>
      <c r="C23" s="13" t="s">
        <v>42</v>
      </c>
      <c r="D23" s="13" t="s">
        <v>43</v>
      </c>
    </row>
    <row r="24" customFormat="false" ht="15" hidden="false" customHeight="false" outlineLevel="0" collapsed="false">
      <c r="A24" s="2" t="s">
        <v>44</v>
      </c>
      <c r="B24" s="18" t="n">
        <v>31</v>
      </c>
      <c r="C24" s="18" t="n">
        <v>72</v>
      </c>
      <c r="D24" s="18" t="n">
        <v>132</v>
      </c>
    </row>
    <row r="25" customFormat="false" ht="15" hidden="false" customHeight="false" outlineLevel="0" collapsed="false">
      <c r="A25" s="2" t="s">
        <v>53</v>
      </c>
      <c r="B25" s="18" t="n">
        <v>817074</v>
      </c>
      <c r="C25" s="18" t="n">
        <v>1928709</v>
      </c>
      <c r="D25" s="18" t="n">
        <v>3517083</v>
      </c>
    </row>
    <row r="26" customFormat="false" ht="15" hidden="false" customHeight="false" outlineLevel="0" collapsed="false">
      <c r="A26" s="2" t="s">
        <v>46</v>
      </c>
      <c r="B26" s="18" t="n">
        <v>467241</v>
      </c>
      <c r="C26" s="18" t="n">
        <v>1452759</v>
      </c>
      <c r="D26" s="18" t="n">
        <v>2837016</v>
      </c>
    </row>
    <row r="27" customFormat="false" ht="15" hidden="false" customHeight="false" outlineLevel="0" collapsed="false">
      <c r="A27" s="2" t="s">
        <v>47</v>
      </c>
      <c r="B27" s="18" t="n">
        <v>256196</v>
      </c>
      <c r="C27" s="18" t="n">
        <v>693182</v>
      </c>
      <c r="D27" s="18" t="n">
        <v>1638273</v>
      </c>
    </row>
    <row r="28" customFormat="false" ht="15" hidden="false" customHeight="false" outlineLevel="0" collapsed="false">
      <c r="A28" s="2" t="s">
        <v>54</v>
      </c>
      <c r="B28" s="18" t="n">
        <v>256196</v>
      </c>
      <c r="C28" s="18" t="n">
        <v>949379</v>
      </c>
      <c r="D28" s="18" t="n">
        <v>2587652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2026-09-02T11:22:18Z</dcterms:created>
  <dc:creator>openpyxl</dc:creator>
  <dc:description/>
  <dc:language>en-US</dc:language>
  <cp:lastModifiedBy/>
  <dcterms:modified xsi:type="dcterms:W3CDTF">2026-09-02T11:22:18Z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